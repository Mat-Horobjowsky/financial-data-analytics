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 Horobjowsky\financial_data_analytics\examples\readiness_demo\"/>
    </mc:Choice>
  </mc:AlternateContent>
  <xr:revisionPtr revIDLastSave="0" documentId="13_ncr:1_{94FC99FB-88D8-4EBE-B3A6-D32DE582D04B}" xr6:coauthVersionLast="47" xr6:coauthVersionMax="47" xr10:uidLastSave="{00000000-0000-0000-0000-000000000000}"/>
  <bookViews>
    <workbookView xWindow="-4800" yWindow="-16320" windowWidth="29040" windowHeight="15720" xr2:uid="{00000000-000D-0000-FFFF-FFFF00000000}"/>
  </bookViews>
  <sheets>
    <sheet name="Intake_Form" sheetId="2" r:id="rId1"/>
    <sheet name="Readiness_Scorecard" sheetId="3" r:id="rId2"/>
    <sheet name="RFP_Requirement_Sheet" sheetId="4" r:id="rId3"/>
    <sheet name="PowerBI_Export" sheetId="5" r:id="rId4"/>
    <sheet name="Lists" sheetId="6" r:id="rId5"/>
    <sheet name="Client_Export" sheetId="7" r:id="rId6"/>
    <sheet name="Requirement_Map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" i="7" l="1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A2" i="7"/>
  <c r="C42" i="4"/>
  <c r="C41" i="4"/>
  <c r="C36" i="4"/>
  <c r="C35" i="4"/>
  <c r="C34" i="4"/>
  <c r="C33" i="4"/>
  <c r="C32" i="4"/>
  <c r="C29" i="4"/>
  <c r="C28" i="4"/>
  <c r="C27" i="4"/>
  <c r="C26" i="4"/>
  <c r="C25" i="4"/>
  <c r="C22" i="4"/>
  <c r="C21" i="4"/>
  <c r="C20" i="4"/>
  <c r="C19" i="4"/>
  <c r="C18" i="4"/>
  <c r="C15" i="4"/>
  <c r="C14" i="4"/>
  <c r="C13" i="4"/>
  <c r="C12" i="4"/>
  <c r="C11" i="4"/>
  <c r="C8" i="4"/>
  <c r="C7" i="4"/>
  <c r="C6" i="4"/>
  <c r="C5" i="4"/>
  <c r="D12" i="3"/>
  <c r="D11" i="3"/>
  <c r="D10" i="3"/>
  <c r="K9" i="3"/>
  <c r="D9" i="3"/>
  <c r="K8" i="3"/>
  <c r="D8" i="3"/>
  <c r="D7" i="3"/>
  <c r="K6" i="3"/>
  <c r="D6" i="3"/>
  <c r="D5" i="3"/>
  <c r="K5" i="3" l="1"/>
  <c r="K7" i="3"/>
  <c r="C40" i="4" s="1"/>
  <c r="C39" i="4"/>
</calcChain>
</file>

<file path=xl/sharedStrings.xml><?xml version="1.0" encoding="utf-8"?>
<sst xmlns="http://schemas.openxmlformats.org/spreadsheetml/2006/main" count="713" uniqueCount="326">
  <si>
    <t>Data Center Client Intake Form</t>
  </si>
  <si>
    <t>Use this sheet to structure messy early-stage client conversations into RFP-ready requirements. Yellow/blue fields are intended for user input.</t>
  </si>
  <si>
    <t>Section</t>
  </si>
  <si>
    <t>Field</t>
  </si>
  <si>
    <t>Value</t>
  </si>
  <si>
    <t>Unit</t>
  </si>
  <si>
    <t>Priority</t>
  </si>
  <si>
    <t>Status</t>
  </si>
  <si>
    <t>Notes / Open Questions</t>
  </si>
  <si>
    <t>Export_Key</t>
  </si>
  <si>
    <t>Client Profile</t>
  </si>
  <si>
    <t>Client / Company Name</t>
  </si>
  <si>
    <t>High</t>
  </si>
  <si>
    <t>Not Started</t>
  </si>
  <si>
    <t>client_name</t>
  </si>
  <si>
    <t>Project Name</t>
  </si>
  <si>
    <t>project_name</t>
  </si>
  <si>
    <t>Primary Contact</t>
  </si>
  <si>
    <t>Medium</t>
  </si>
  <si>
    <t>primary_contact</t>
  </si>
  <si>
    <t>Client Type / Use Case</t>
  </si>
  <si>
    <t>use_case</t>
  </si>
  <si>
    <t>Current Stage</t>
  </si>
  <si>
    <t>project_stage</t>
  </si>
  <si>
    <t>Target Decision Date</t>
  </si>
  <si>
    <t>date</t>
  </si>
  <si>
    <t>target_decision_date</t>
  </si>
  <si>
    <t>Decision Makers Identified?</t>
  </si>
  <si>
    <t>decision_makers_identified</t>
  </si>
  <si>
    <t>Capacity Requirements</t>
  </si>
  <si>
    <t>Initial Critical IT Load</t>
  </si>
  <si>
    <t>MW</t>
  </si>
  <si>
    <t>Critical</t>
  </si>
  <si>
    <t>initial_critical_it_mw</t>
  </si>
  <si>
    <t>Future Expansion Requirement</t>
  </si>
  <si>
    <t>future_expansion_mw</t>
  </si>
  <si>
    <t>Total Utility / Grid Load</t>
  </si>
  <si>
    <t>total_utility_load_mw</t>
  </si>
  <si>
    <t>Ramp Schedule / Phasing</t>
  </si>
  <si>
    <t>text</t>
  </si>
  <si>
    <t>ramp_schedule</t>
  </si>
  <si>
    <t>Minimum Viable Capacity</t>
  </si>
  <si>
    <t>min_viable_capacity_mw</t>
  </si>
  <si>
    <t>Technical Requirements</t>
  </si>
  <si>
    <t>Rack Density Range</t>
  </si>
  <si>
    <t>kW/rack</t>
  </si>
  <si>
    <t>rack_density</t>
  </si>
  <si>
    <t>Cooling Requirement</t>
  </si>
  <si>
    <t>cooling_requirement</t>
  </si>
  <si>
    <t>Redundancy Requirement</t>
  </si>
  <si>
    <t>redundancy_requirement</t>
  </si>
  <si>
    <t>Latency / Connectivity Requirements</t>
  </si>
  <si>
    <t>connectivity_requirements</t>
  </si>
  <si>
    <t>Security / Compliance Requirements</t>
  </si>
  <si>
    <t>security_compliance</t>
  </si>
  <si>
    <t>Market Preferences</t>
  </si>
  <si>
    <t>Preferred Markets</t>
  </si>
  <si>
    <t>preferred_markets</t>
  </si>
  <si>
    <t>Acceptable Regions</t>
  </si>
  <si>
    <t>acceptable_regions</t>
  </si>
  <si>
    <t>Markets to Avoid</t>
  </si>
  <si>
    <t>Low</t>
  </si>
  <si>
    <t>markets_to_avoid</t>
  </si>
  <si>
    <t>Latency-Driven Constraints?</t>
  </si>
  <si>
    <t>latency_constraints</t>
  </si>
  <si>
    <t>Tax / Incentive Sensitivity</t>
  </si>
  <si>
    <t>tax_incentive_sensitivity</t>
  </si>
  <si>
    <t>Power Requirements</t>
  </si>
  <si>
    <t>Required Power Delivery Date</t>
  </si>
  <si>
    <t>power_delivery_date</t>
  </si>
  <si>
    <t>Power Source Preference</t>
  </si>
  <si>
    <t>power_source_preference</t>
  </si>
  <si>
    <t>Renewable / Carbon Requirements</t>
  </si>
  <si>
    <t>renewable_requirements</t>
  </si>
  <si>
    <t>Utility / Interconnection Status</t>
  </si>
  <si>
    <t>interconnection_status</t>
  </si>
  <si>
    <t>Tolerance for Power Delay</t>
  </si>
  <si>
    <t>months</t>
  </si>
  <si>
    <t>power_delay_tolerance</t>
  </si>
  <si>
    <t>Supply Chain</t>
  </si>
  <si>
    <t>Long-Lead Equipment Known?</t>
  </si>
  <si>
    <t>long_lead_equipment_known</t>
  </si>
  <si>
    <t>Transformer / Switchgear Needs</t>
  </si>
  <si>
    <t>transformer_switchgear_needs</t>
  </si>
  <si>
    <t>Generator / Cooling Procurement</t>
  </si>
  <si>
    <t>generator_cooling_procurement</t>
  </si>
  <si>
    <t>Procurement Responsibility</t>
  </si>
  <si>
    <t>procurement_responsibility</t>
  </si>
  <si>
    <t>Commercial / Deal Model</t>
  </si>
  <si>
    <t>Preferred Commercial Model</t>
  </si>
  <si>
    <t>commercial_model</t>
  </si>
  <si>
    <t>Lease Term / Contract Term</t>
  </si>
  <si>
    <t>years</t>
  </si>
  <si>
    <t>lease_contract_term</t>
  </si>
  <si>
    <t>Budget / Pricing Tolerance</t>
  </si>
  <si>
    <t>$/kW-mo or $/MW</t>
  </si>
  <si>
    <t>budget_pricing_tolerance</t>
  </si>
  <si>
    <t>Lease vs Buy Decision Made?</t>
  </si>
  <si>
    <t>lease_vs_buy_decision</t>
  </si>
  <si>
    <t>Capital / Financing Status</t>
  </si>
  <si>
    <t>capital_financing_status</t>
  </si>
  <si>
    <t>RFP / CBRE Readiness</t>
  </si>
  <si>
    <t>Is Client Ready for CBRE Market Process?</t>
  </si>
  <si>
    <t>ready_for_cbre</t>
  </si>
  <si>
    <t>Key Gaps Before RFP</t>
  </si>
  <si>
    <t>key_gaps_before_rfp</t>
  </si>
  <si>
    <t>Recommended Next Step</t>
  </si>
  <si>
    <t>recommended_next_step</t>
  </si>
  <si>
    <t>Yes</t>
  </si>
  <si>
    <t>RFP Readiness Scorecard</t>
  </si>
  <si>
    <t>Score each category from 1 to 5. Weighted score calculates readiness. Use the gap/action columns to turn unclear client situations into consulting work.</t>
  </si>
  <si>
    <t>Category</t>
  </si>
  <si>
    <t>Score (1-5)</t>
  </si>
  <si>
    <t>Weight</t>
  </si>
  <si>
    <t>Weighted Score</t>
  </si>
  <si>
    <t>Current Evidence</t>
  </si>
  <si>
    <t>Gap</t>
  </si>
  <si>
    <t>Recommended Action</t>
  </si>
  <si>
    <t>Owner</t>
  </si>
  <si>
    <t>Summary</t>
  </si>
  <si>
    <t>Capacity clarity</t>
  </si>
  <si>
    <t>Overall Readiness Score</t>
  </si>
  <si>
    <t>/100</t>
  </si>
  <si>
    <t>Timeline clarity</t>
  </si>
  <si>
    <t>Average Category Score</t>
  </si>
  <si>
    <t>/5</t>
  </si>
  <si>
    <t>Technical specs</t>
  </si>
  <si>
    <t>Readiness Status</t>
  </si>
  <si>
    <t>Market clarity</t>
  </si>
  <si>
    <t>Top Gap Count</t>
  </si>
  <si>
    <t>categories at 1-2</t>
  </si>
  <si>
    <t>Power strategy</t>
  </si>
  <si>
    <t>Next Review Date</t>
  </si>
  <si>
    <t>Commercial model</t>
  </si>
  <si>
    <t>Capital readiness</t>
  </si>
  <si>
    <t>Decision alignment</t>
  </si>
  <si>
    <t>RFP-Ready Requirement Sheet</t>
  </si>
  <si>
    <t>Client-facing summary generated from Intake_Form and Readiness_Scorecard. Use as a draft handoff before a formal CBRE market process.</t>
  </si>
  <si>
    <t>Client / Project</t>
  </si>
  <si>
    <t>Client Name</t>
  </si>
  <si>
    <t>Use Case</t>
  </si>
  <si>
    <t>Capacity &amp; Timeline</t>
  </si>
  <si>
    <t>Ramp Schedule</t>
  </si>
  <si>
    <t>Rack Density</t>
  </si>
  <si>
    <t>Connectivity / Fiber</t>
  </si>
  <si>
    <t>Security / Compliance</t>
  </si>
  <si>
    <t>Market &amp; Power</t>
  </si>
  <si>
    <t>Interconnection Status</t>
  </si>
  <si>
    <t>Power Delay Tolerance</t>
  </si>
  <si>
    <t>Commercial Model</t>
  </si>
  <si>
    <t>Lease / Contract Term</t>
  </si>
  <si>
    <t>Readiness &amp; Next Steps</t>
  </si>
  <si>
    <t>Readiness Score</t>
  </si>
  <si>
    <t>project_id</t>
  </si>
  <si>
    <t>category</t>
  </si>
  <si>
    <t>market</t>
  </si>
  <si>
    <t>requirement_name</t>
  </si>
  <si>
    <t>status</t>
  </si>
  <si>
    <t>severity</t>
  </si>
  <si>
    <t>notes</t>
  </si>
  <si>
    <t>Project Stage</t>
  </si>
  <si>
    <t>Yes/No/Unknown</t>
  </si>
  <si>
    <t>Readiness Rating</t>
  </si>
  <si>
    <t>Risk Level</t>
  </si>
  <si>
    <t>Score 1</t>
  </si>
  <si>
    <t>Score 3</t>
  </si>
  <si>
    <t>Score 5</t>
  </si>
  <si>
    <t>Exploring</t>
  </si>
  <si>
    <t>AI Training</t>
  </si>
  <si>
    <t>Colocation</t>
  </si>
  <si>
    <t>1 - Very unclear</t>
  </si>
  <si>
    <t>Unclear MW / no phase plan</t>
  </si>
  <si>
    <t>Approximate MW known</t>
  </si>
  <si>
    <t>Initial and expansion MW clearly phased</t>
  </si>
  <si>
    <t>In Progress</t>
  </si>
  <si>
    <t>Requirement Definition</t>
  </si>
  <si>
    <t>AI Inference</t>
  </si>
  <si>
    <t>Wholesale Lease</t>
  </si>
  <si>
    <t>No</t>
  </si>
  <si>
    <t>2 - Weak</t>
  </si>
  <si>
    <t>No go-live date</t>
  </si>
  <si>
    <t>Target window only</t>
  </si>
  <si>
    <t>Delivery dates and ramp milestones defined</t>
  </si>
  <si>
    <t>Complete</t>
  </si>
  <si>
    <t>RFP Prep</t>
  </si>
  <si>
    <t>HPC</t>
  </si>
  <si>
    <t>NNN Lease</t>
  </si>
  <si>
    <t>Unknown</t>
  </si>
  <si>
    <t>3 - Partial</t>
  </si>
  <si>
    <t>Minimal technical detail</t>
  </si>
  <si>
    <t>Some rack/cooling/redundancy detail</t>
  </si>
  <si>
    <t>Complete technical requirements documented</t>
  </si>
  <si>
    <t>Needs Follow-up</t>
  </si>
  <si>
    <t>Active RFP</t>
  </si>
  <si>
    <t>Cloud</t>
  </si>
  <si>
    <t>Build-to-Suit</t>
  </si>
  <si>
    <t>TBD</t>
  </si>
  <si>
    <t>4 - Mostly ready</t>
  </si>
  <si>
    <t>Markets not narrowed</t>
  </si>
  <si>
    <t>Preferred regions identified</t>
  </si>
  <si>
    <t>Realistic market shortlist defined</t>
  </si>
  <si>
    <t>Not Applicable</t>
  </si>
  <si>
    <t>Negotiation</t>
  </si>
  <si>
    <t>Enterprise IT</t>
  </si>
  <si>
    <t>Powered Land</t>
  </si>
  <si>
    <t>5 - RFP-ready</t>
  </si>
  <si>
    <t>No power plan</t>
  </si>
  <si>
    <t>Basic power needs stated</t>
  </si>
  <si>
    <t>Power, interconnection, energy preferences clear</t>
  </si>
  <si>
    <t>Board Approval</t>
  </si>
  <si>
    <t>Buy-Own-Operate</t>
  </si>
  <si>
    <t>No preferred model</t>
  </si>
  <si>
    <t>Some lease/buy preference</t>
  </si>
  <si>
    <t>Commercial structure and budget defined</t>
  </si>
  <si>
    <t>Closed/Won</t>
  </si>
  <si>
    <t>Disaster Recovery</t>
  </si>
  <si>
    <t>Joint Venture</t>
  </si>
  <si>
    <t>Capital source unclear</t>
  </si>
  <si>
    <t>Funding path in discussion</t>
  </si>
  <si>
    <t>Funding, credit, approval path clear</t>
  </si>
  <si>
    <t>Paused</t>
  </si>
  <si>
    <t>Crypto/Mining</t>
  </si>
  <si>
    <t>Undecided</t>
  </si>
  <si>
    <t>No decision-maker alignment</t>
  </si>
  <si>
    <t>Some stakeholders identified</t>
  </si>
  <si>
    <t>Decision-makers, approval process, and next steps clear</t>
  </si>
  <si>
    <t>Other</t>
  </si>
  <si>
    <t>assessment_date</t>
  </si>
  <si>
    <t>requirement_id</t>
  </si>
  <si>
    <t>intake_field</t>
  </si>
  <si>
    <t>answer_yes_status</t>
  </si>
  <si>
    <t>answer_no_status</t>
  </si>
  <si>
    <t>answer_partial_status</t>
  </si>
  <si>
    <t>default_status</t>
  </si>
  <si>
    <t>default_notes</t>
  </si>
  <si>
    <t>market_scope</t>
  </si>
  <si>
    <t>REQ-001</t>
  </si>
  <si>
    <t>Phase 1 MW requirement defined</t>
  </si>
  <si>
    <t>capacity</t>
  </si>
  <si>
    <t>high</t>
  </si>
  <si>
    <t>complete</t>
  </si>
  <si>
    <t>open</t>
  </si>
  <si>
    <t>in_progress</t>
  </si>
  <si>
    <t>32 MW Phase 1 confirmed</t>
  </si>
  <si>
    <t>NAM-NOVA</t>
  </si>
  <si>
    <t>REQ-002</t>
  </si>
  <si>
    <t>Phase 2 expansion scope</t>
  </si>
  <si>
    <t>medium</t>
  </si>
  <si>
    <t>Phase 2 sizing under review</t>
  </si>
  <si>
    <t>REQ-003</t>
  </si>
  <si>
    <t>Minimum viable capacity confirmed</t>
  </si>
  <si>
    <t>critical</t>
  </si>
  <si>
    <t>not_started</t>
  </si>
  <si>
    <t>No confirmation from tech team</t>
  </si>
  <si>
    <t>NAM-PHX</t>
  </si>
  <si>
    <t>REQ-004</t>
  </si>
  <si>
    <t>Go-live delivery date set</t>
  </si>
  <si>
    <t>timeline</t>
  </si>
  <si>
    <t>Q2 2026 target confirmed</t>
  </si>
  <si>
    <t>REQ-005</t>
  </si>
  <si>
    <t>Ramp milestone schedule defined</t>
  </si>
  <si>
    <t>Three-phase ramp agreed</t>
  </si>
  <si>
    <t>REQ-006</t>
  </si>
  <si>
    <t>Target decision date confirmed</t>
  </si>
  <si>
    <t>October 2025 decision date</t>
  </si>
  <si>
    <t>NAM-CHI</t>
  </si>
  <si>
    <t>REQ-007</t>
  </si>
  <si>
    <t>Rack density specification documented</t>
  </si>
  <si>
    <t>technical</t>
  </si>
  <si>
    <t>20 kW/rack average</t>
  </si>
  <si>
    <t>REQ-008</t>
  </si>
  <si>
    <t>Cooling and redundancy requirements set</t>
  </si>
  <si>
    <t>N+1 cooling, 2N power</t>
  </si>
  <si>
    <t>REQ-009</t>
  </si>
  <si>
    <t>Security and compliance requirements</t>
  </si>
  <si>
    <t>SOC 2 assessment ongoing</t>
  </si>
  <si>
    <t>REQ-010</t>
  </si>
  <si>
    <t>Primary market shortlist defined</t>
  </si>
  <si>
    <t>NOVA primary, PHX secondary</t>
  </si>
  <si>
    <t>REQ-011</t>
  </si>
  <si>
    <t>Secondary market preferences confirmed</t>
  </si>
  <si>
    <t>PHX confirmed as backup</t>
  </si>
  <si>
    <t>REQ-012</t>
  </si>
  <si>
    <t>Markets-to-avoid constraints documented</t>
  </si>
  <si>
    <t>low</t>
  </si>
  <si>
    <t>EU excluded on latency grounds</t>
  </si>
  <si>
    <t>REQ-013</t>
  </si>
  <si>
    <t>Power delivery date requirement set</t>
  </si>
  <si>
    <t>power</t>
  </si>
  <si>
    <t>Must-have by Q1 2026</t>
  </si>
  <si>
    <t>REQ-014</t>
  </si>
  <si>
    <t>Utility interconnection status confirmed</t>
  </si>
  <si>
    <t>Utility queue position unknown</t>
  </si>
  <si>
    <t>REQ-015</t>
  </si>
  <si>
    <t>Renewable energy requirement defined</t>
  </si>
  <si>
    <t>Carbon neutrality target under review</t>
  </si>
  <si>
    <t>REQ-016</t>
  </si>
  <si>
    <t>Preferred commercial model confirmed</t>
  </si>
  <si>
    <t>commercial</t>
  </si>
  <si>
    <t>Wholesale lease preferred</t>
  </si>
  <si>
    <t>REQ-017</t>
  </si>
  <si>
    <t>Lease term and pricing tolerance set</t>
  </si>
  <si>
    <t>Budget range being finalized</t>
  </si>
  <si>
    <t>REQ-018</t>
  </si>
  <si>
    <t>Lease vs buy decision finalized</t>
  </si>
  <si>
    <t>Decision pending board approval</t>
  </si>
  <si>
    <t>REQ-019</t>
  </si>
  <si>
    <t>Capital source identified</t>
  </si>
  <si>
    <t>capital</t>
  </si>
  <si>
    <t>Series C earmarked for infra</t>
  </si>
  <si>
    <t>REQ-020</t>
  </si>
  <si>
    <t>Financing path confirmed</t>
  </si>
  <si>
    <t>Lender terms agreed in principle</t>
  </si>
  <si>
    <t>REQ-021</t>
  </si>
  <si>
    <t>Board approval obtained</t>
  </si>
  <si>
    <t>Q3 2025 board approval received</t>
  </si>
  <si>
    <t>REQ-022</t>
  </si>
  <si>
    <t>Decision makers identified</t>
  </si>
  <si>
    <t>decision</t>
  </si>
  <si>
    <t>CTO and CFO confirmed as sponsors</t>
  </si>
  <si>
    <t>REQ-023</t>
  </si>
  <si>
    <t>Approval process defined</t>
  </si>
  <si>
    <t>Standard procurement sign-off</t>
  </si>
  <si>
    <t>REQ-024</t>
  </si>
  <si>
    <t>Stakeholder alignment confirmed</t>
  </si>
  <si>
    <t>Regional team not yet briefed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</si>
</sst>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8">
    <font>
      <sz val="11"/>
      <name val="Carlito"/>
    </font>
    <font>
      <b/>
      <sz val="16"/>
      <color rgb="FFFFFFFF"/>
      <name val="Carlito"/>
    </font>
    <font>
      <b/>
      <sz val="11"/>
      <color rgb="FF1F2937"/>
      <name val="Carlito"/>
    </font>
    <font>
      <sz val="11"/>
      <color rgb="FF1F2937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color rgb="FF666666"/>
      <name val="Carlito"/>
    </font>
    <font>
      <b/>
      <sz val="11"/>
      <color rgb="FFFFFFFF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8FBFD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1A202C"/>
      </patternFill>
    </fill>
    <fill>
      <patternFill patternType="solid">
        <fgColor rgb="FFE2E8F0"/>
      </patternFill>
    </fill>
    <fill>
      <patternFill patternType="solid">
        <fgColor rgb="FF1F4E78"/>
      </patternFill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0" xfId="0" applyFont="1" applyFill="1" applyAlignment="1">
      <alignment vertical="top" wrapText="1"/>
    </xf>
    <xf numFmtId="0" fontId="3" fillId="6" borderId="0" xfId="0" applyFont="1" applyFill="1" applyAlignment="1">
      <alignment horizontal="center" vertical="top" wrapText="1"/>
    </xf>
    <xf numFmtId="164" fontId="3" fillId="4" borderId="0" xfId="0" applyNumberFormat="1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4" fillId="2" borderId="0" xfId="0" applyFont="1" applyFill="1" applyAlignment="1">
      <alignment horizontal="center" vertical="top" wrapText="1"/>
    </xf>
    <xf numFmtId="0" fontId="2" fillId="7" borderId="0" xfId="0" applyFont="1" applyFill="1" applyAlignment="1">
      <alignment horizontal="center" vertical="top" wrapText="1"/>
    </xf>
    <xf numFmtId="164" fontId="5" fillId="6" borderId="0" xfId="0" applyNumberFormat="1" applyFont="1" applyFill="1" applyAlignment="1">
      <alignment horizontal="center" vertical="top"/>
    </xf>
    <xf numFmtId="0" fontId="5" fillId="6" borderId="0" xfId="0" applyFont="1" applyFill="1" applyAlignment="1">
      <alignment horizontal="center" vertical="top"/>
    </xf>
    <xf numFmtId="1" fontId="5" fillId="6" borderId="0" xfId="0" applyNumberFormat="1" applyFont="1" applyFill="1" applyAlignment="1">
      <alignment horizontal="center" vertical="top"/>
    </xf>
    <xf numFmtId="165" fontId="5" fillId="6" borderId="0" xfId="0" applyNumberFormat="1" applyFont="1" applyFill="1" applyAlignment="1">
      <alignment horizontal="center" vertical="top"/>
    </xf>
    <xf numFmtId="1" fontId="0" fillId="0" borderId="0" xfId="0" applyNumberFormat="1" applyAlignment="1">
      <alignment vertical="top"/>
    </xf>
    <xf numFmtId="0" fontId="0" fillId="0" borderId="0" xfId="0" applyAlignment="1">
      <alignment wrapText="1"/>
    </xf>
    <xf numFmtId="165" fontId="4" fillId="10" borderId="0" xfId="0" applyNumberFormat="1" applyFont="1" applyFill="1" applyAlignment="1">
      <alignment horizontal="center" vertical="top" wrapText="1"/>
    </xf>
    <xf numFmtId="0" fontId="4" fillId="10" borderId="0" xfId="0" applyFont="1" applyFill="1" applyAlignment="1">
      <alignment horizontal="center" vertical="top" wrapText="1"/>
    </xf>
    <xf numFmtId="165" fontId="4" fillId="10" borderId="0" xfId="0" applyNumberFormat="1" applyFont="1" applyFill="1" applyAlignment="1">
      <alignment horizontal="center" wrapText="1"/>
    </xf>
    <xf numFmtId="0" fontId="4" fillId="10" borderId="0" xfId="0" applyFont="1" applyFill="1" applyAlignment="1">
      <alignment horizontal="center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165" fontId="3" fillId="6" borderId="1" xfId="0" applyNumberFormat="1" applyFont="1" applyFill="1" applyBorder="1" applyAlignment="1">
      <alignment vertical="top" wrapText="1"/>
    </xf>
    <xf numFmtId="0" fontId="7" fillId="11" borderId="0" xfId="0" applyFont="1" applyFill="1" applyAlignment="1">
      <alignment horizontal="center"/>
    </xf>
    <xf numFmtId="0" fontId="6" fillId="5" borderId="0" xfId="0" applyFont="1" applyFill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2" fillId="9" borderId="0" xfId="0" applyFont="1" applyFill="1" applyAlignment="1">
      <alignment horizontal="left" vertical="top" wrapText="1"/>
    </xf>
    <xf numFmtId="0" fontId="2" fillId="7" borderId="0" xfId="0" applyFont="1" applyFill="1" applyAlignment="1">
      <alignment horizontal="center" vertical="top" wrapText="1"/>
    </xf>
    <xf numFmtId="0" fontId="3" fillId="4" borderId="0" xfId="0" applyFont="1" applyFill="1" applyAlignment="1">
      <alignment vertical="top" wrapText="1"/>
    </xf>
    <xf numFmtId="14" fontId="3" fillId="4" borderId="0" xfId="0" applyNumberFormat="1" applyFont="1" applyFill="1" applyAlignment="1">
      <alignment vertical="top" wrapText="1"/>
    </xf>
    <xf numFmtId="0" fontId="1" fillId="8" borderId="0" xfId="0" applyFont="1" applyFill="1" applyAlignment="1">
      <alignment horizontal="left" vertical="top" wrapText="1"/>
    </xf>
  </cellXfs>
  <cellStyles count="1">
    <cellStyle name="Normal" xfId="0" builtinId="0"/>
  </cellStyles>
  <dxfs count="3">
    <dxf>
      <fill>
        <patternFill>
          <bgColor rgb="FFEEEEEE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werBIExportTable" displayName="PowerBIExportTable" ref="A1:H25">
  <tableColumns count="8">
    <tableColumn id="1" xr3:uid="{00000000-0010-0000-0000-000001000000}" name="date"/>
    <tableColumn id="2" xr3:uid="{00000000-0010-0000-0000-000002000000}" name="project_id"/>
    <tableColumn id="3" xr3:uid="{00000000-0010-0000-0000-000003000000}" name="category"/>
    <tableColumn id="4" xr3:uid="{00000000-0010-0000-0000-000004000000}" name="market"/>
    <tableColumn id="5" xr3:uid="{00000000-0010-0000-0000-000005000000}" name="requirement_name"/>
    <tableColumn id="6" xr3:uid="{00000000-0010-0000-0000-000006000000}" name="status"/>
    <tableColumn id="7" xr3:uid="{00000000-0010-0000-0000-000007000000}" name="severity"/>
    <tableColumn id="8" xr3:uid="{00000000-0010-0000-0000-000008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ientExportTable" displayName="ClientExportTable" ref="A1:AO2">
  <tableColumns count="41">
    <tableColumn id="1" xr3:uid="{00000000-0010-0000-0100-000001000000}" name="assessment_date"/>
    <tableColumn id="2" xr3:uid="{00000000-0010-0000-0100-000002000000}" name="project_id"/>
    <tableColumn id="3" xr3:uid="{00000000-0010-0000-0100-000003000000}" name="client_name"/>
    <tableColumn id="4" xr3:uid="{00000000-0010-0000-0100-000004000000}" name="project_name"/>
    <tableColumn id="5" xr3:uid="{00000000-0010-0000-0100-000005000000}" name="primary_contact"/>
    <tableColumn id="6" xr3:uid="{00000000-0010-0000-0100-000006000000}" name="use_case"/>
    <tableColumn id="7" xr3:uid="{00000000-0010-0000-0100-000007000000}" name="project_stage"/>
    <tableColumn id="8" xr3:uid="{00000000-0010-0000-0100-000008000000}" name="target_decision_date"/>
    <tableColumn id="9" xr3:uid="{00000000-0010-0000-0100-000009000000}" name="decision_makers_identified"/>
    <tableColumn id="10" xr3:uid="{00000000-0010-0000-0100-00000A000000}" name="initial_critical_it_mw"/>
    <tableColumn id="11" xr3:uid="{00000000-0010-0000-0100-00000B000000}" name="future_expansion_mw"/>
    <tableColumn id="12" xr3:uid="{00000000-0010-0000-0100-00000C000000}" name="total_utility_load_mw"/>
    <tableColumn id="13" xr3:uid="{00000000-0010-0000-0100-00000D000000}" name="ramp_schedule"/>
    <tableColumn id="14" xr3:uid="{00000000-0010-0000-0100-00000E000000}" name="min_viable_capacity_mw"/>
    <tableColumn id="15" xr3:uid="{00000000-0010-0000-0100-00000F000000}" name="rack_density"/>
    <tableColumn id="16" xr3:uid="{00000000-0010-0000-0100-000010000000}" name="cooling_requirement"/>
    <tableColumn id="17" xr3:uid="{00000000-0010-0000-0100-000011000000}" name="redundancy_requirement"/>
    <tableColumn id="18" xr3:uid="{00000000-0010-0000-0100-000012000000}" name="connectivity_requirements"/>
    <tableColumn id="19" xr3:uid="{00000000-0010-0000-0100-000013000000}" name="security_compliance"/>
    <tableColumn id="20" xr3:uid="{00000000-0010-0000-0100-000014000000}" name="preferred_markets"/>
    <tableColumn id="21" xr3:uid="{00000000-0010-0000-0100-000015000000}" name="acceptable_regions"/>
    <tableColumn id="22" xr3:uid="{00000000-0010-0000-0100-000016000000}" name="markets_to_avoid"/>
    <tableColumn id="23" xr3:uid="{00000000-0010-0000-0100-000017000000}" name="latency_constraints"/>
    <tableColumn id="24" xr3:uid="{00000000-0010-0000-0100-000018000000}" name="tax_incentive_sensitivity"/>
    <tableColumn id="25" xr3:uid="{00000000-0010-0000-0100-000019000000}" name="power_delivery_date"/>
    <tableColumn id="26" xr3:uid="{00000000-0010-0000-0100-00001A000000}" name="power_source_preference"/>
    <tableColumn id="27" xr3:uid="{00000000-0010-0000-0100-00001B000000}" name="renewable_requirements"/>
    <tableColumn id="28" xr3:uid="{00000000-0010-0000-0100-00001C000000}" name="interconnection_status"/>
    <tableColumn id="29" xr3:uid="{00000000-0010-0000-0100-00001D000000}" name="power_delay_tolerance"/>
    <tableColumn id="30" xr3:uid="{00000000-0010-0000-0100-00001E000000}" name="long_lead_equipment_known"/>
    <tableColumn id="31" xr3:uid="{00000000-0010-0000-0100-00001F000000}" name="transformer_switchgear_needs"/>
    <tableColumn id="32" xr3:uid="{00000000-0010-0000-0100-000020000000}" name="generator_cooling_procurement"/>
    <tableColumn id="33" xr3:uid="{00000000-0010-0000-0100-000021000000}" name="procurement_responsibility"/>
    <tableColumn id="34" xr3:uid="{00000000-0010-0000-0100-000022000000}" name="commercial_model"/>
    <tableColumn id="35" xr3:uid="{00000000-0010-0000-0100-000023000000}" name="lease_contract_term"/>
    <tableColumn id="36" xr3:uid="{00000000-0010-0000-0100-000024000000}" name="budget_pricing_tolerance"/>
    <tableColumn id="37" xr3:uid="{00000000-0010-0000-0100-000025000000}" name="lease_vs_buy_decision"/>
    <tableColumn id="38" xr3:uid="{00000000-0010-0000-0100-000026000000}" name="capital_financing_status"/>
    <tableColumn id="39" xr3:uid="{00000000-0010-0000-0100-000027000000}" name="ready_for_cbre"/>
    <tableColumn id="40" xr3:uid="{00000000-0010-0000-0100-000028000000}" name="key_gaps_before_rfp"/>
    <tableColumn id="41" xr3:uid="{00000000-0010-0000-0100-000029000000}" name="recommended_next_ste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tabSelected="1" workbookViewId="0">
      <selection sqref="A1:XFD1"/>
    </sheetView>
  </sheetViews>
  <sheetFormatPr defaultRowHeight="14"/>
  <cols>
    <col min="1" max="1" width="24" customWidth="1"/>
    <col min="2" max="2" width="32" customWidth="1"/>
    <col min="3" max="3" width="34" customWidth="1"/>
    <col min="4" max="4" width="14" customWidth="1"/>
    <col min="5" max="6" width="16" customWidth="1"/>
    <col min="7" max="7" width="38" customWidth="1"/>
    <col min="8" max="8" width="27.25" customWidth="1"/>
  </cols>
  <sheetData>
    <row r="1" spans="1:26" ht="20" customHeight="1">
      <c r="A1" s="25" t="s">
        <v>0</v>
      </c>
      <c r="B1" s="24"/>
      <c r="C1" s="24"/>
      <c r="D1" s="24"/>
      <c r="E1" s="24"/>
      <c r="F1" s="24"/>
      <c r="G1" s="24"/>
      <c r="H1" s="2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23" t="s">
        <v>1</v>
      </c>
      <c r="B2" s="24"/>
      <c r="C2" s="24"/>
      <c r="D2" s="24"/>
      <c r="E2" s="24"/>
      <c r="F2" s="24"/>
      <c r="G2" s="24"/>
      <c r="H2" s="2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18" t="s">
        <v>10</v>
      </c>
      <c r="B5" s="19" t="s">
        <v>11</v>
      </c>
      <c r="C5" s="20"/>
      <c r="D5" s="19"/>
      <c r="E5" s="19" t="s">
        <v>12</v>
      </c>
      <c r="F5" s="19" t="s">
        <v>13</v>
      </c>
      <c r="G5" s="19"/>
      <c r="H5" s="19" t="s">
        <v>14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18" t="s">
        <v>10</v>
      </c>
      <c r="B6" s="19" t="s">
        <v>15</v>
      </c>
      <c r="C6" s="20"/>
      <c r="D6" s="19"/>
      <c r="E6" s="19" t="s">
        <v>12</v>
      </c>
      <c r="F6" s="19" t="s">
        <v>13</v>
      </c>
      <c r="G6" s="19"/>
      <c r="H6" s="19" t="s">
        <v>16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18" t="s">
        <v>10</v>
      </c>
      <c r="B7" s="19" t="s">
        <v>17</v>
      </c>
      <c r="C7" s="20"/>
      <c r="D7" s="19"/>
      <c r="E7" s="19" t="s">
        <v>18</v>
      </c>
      <c r="F7" s="19" t="s">
        <v>13</v>
      </c>
      <c r="G7" s="19"/>
      <c r="H7" s="19" t="s">
        <v>19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18" t="s">
        <v>10</v>
      </c>
      <c r="B8" s="19" t="s">
        <v>20</v>
      </c>
      <c r="C8" s="20"/>
      <c r="D8" s="19"/>
      <c r="E8" s="19" t="s">
        <v>12</v>
      </c>
      <c r="F8" s="19" t="s">
        <v>13</v>
      </c>
      <c r="G8" s="19"/>
      <c r="H8" s="19" t="s">
        <v>21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18" t="s">
        <v>10</v>
      </c>
      <c r="B9" s="19" t="s">
        <v>22</v>
      </c>
      <c r="C9" s="20"/>
      <c r="D9" s="19"/>
      <c r="E9" s="19" t="s">
        <v>12</v>
      </c>
      <c r="F9" s="19" t="s">
        <v>13</v>
      </c>
      <c r="G9" s="19"/>
      <c r="H9" s="19" t="s">
        <v>23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18" t="s">
        <v>10</v>
      </c>
      <c r="B10" s="19" t="s">
        <v>24</v>
      </c>
      <c r="C10" s="21"/>
      <c r="D10" s="19" t="s">
        <v>25</v>
      </c>
      <c r="E10" s="19" t="s">
        <v>18</v>
      </c>
      <c r="F10" s="19" t="s">
        <v>13</v>
      </c>
      <c r="G10" s="19"/>
      <c r="H10" s="19" t="s">
        <v>26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18" t="s">
        <v>10</v>
      </c>
      <c r="B11" s="19" t="s">
        <v>27</v>
      </c>
      <c r="C11" s="20"/>
      <c r="D11" s="19"/>
      <c r="E11" s="19" t="s">
        <v>12</v>
      </c>
      <c r="F11" s="19" t="s">
        <v>13</v>
      </c>
      <c r="G11" s="19"/>
      <c r="H11" s="19" t="s">
        <v>28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18" t="s">
        <v>29</v>
      </c>
      <c r="B12" s="19" t="s">
        <v>30</v>
      </c>
      <c r="C12" s="20"/>
      <c r="D12" s="19" t="s">
        <v>31</v>
      </c>
      <c r="E12" s="19" t="s">
        <v>32</v>
      </c>
      <c r="F12" s="19" t="s">
        <v>13</v>
      </c>
      <c r="G12" s="19"/>
      <c r="H12" s="19" t="s">
        <v>33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18" t="s">
        <v>29</v>
      </c>
      <c r="B13" s="19" t="s">
        <v>34</v>
      </c>
      <c r="C13" s="20"/>
      <c r="D13" s="19" t="s">
        <v>31</v>
      </c>
      <c r="E13" s="19" t="s">
        <v>12</v>
      </c>
      <c r="F13" s="19" t="s">
        <v>13</v>
      </c>
      <c r="G13" s="19"/>
      <c r="H13" s="19" t="s">
        <v>35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18" t="s">
        <v>29</v>
      </c>
      <c r="B14" s="19" t="s">
        <v>36</v>
      </c>
      <c r="C14" s="20"/>
      <c r="D14" s="19" t="s">
        <v>31</v>
      </c>
      <c r="E14" s="19" t="s">
        <v>12</v>
      </c>
      <c r="F14" s="19" t="s">
        <v>13</v>
      </c>
      <c r="G14" s="19"/>
      <c r="H14" s="19" t="s">
        <v>37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18" t="s">
        <v>29</v>
      </c>
      <c r="B15" s="19" t="s">
        <v>38</v>
      </c>
      <c r="C15" s="20"/>
      <c r="D15" s="19" t="s">
        <v>39</v>
      </c>
      <c r="E15" s="19" t="s">
        <v>12</v>
      </c>
      <c r="F15" s="19" t="s">
        <v>13</v>
      </c>
      <c r="G15" s="19"/>
      <c r="H15" s="19" t="s">
        <v>40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18" t="s">
        <v>29</v>
      </c>
      <c r="B16" s="19" t="s">
        <v>41</v>
      </c>
      <c r="C16" s="20"/>
      <c r="D16" s="19" t="s">
        <v>31</v>
      </c>
      <c r="E16" s="19" t="s">
        <v>18</v>
      </c>
      <c r="F16" s="19" t="s">
        <v>13</v>
      </c>
      <c r="G16" s="19"/>
      <c r="H16" s="19" t="s">
        <v>42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18" t="s">
        <v>43</v>
      </c>
      <c r="B17" s="19" t="s">
        <v>44</v>
      </c>
      <c r="C17" s="20"/>
      <c r="D17" s="19" t="s">
        <v>45</v>
      </c>
      <c r="E17" s="19" t="s">
        <v>12</v>
      </c>
      <c r="F17" s="19" t="s">
        <v>13</v>
      </c>
      <c r="G17" s="19"/>
      <c r="H17" s="19" t="s">
        <v>46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18" t="s">
        <v>43</v>
      </c>
      <c r="B18" s="19" t="s">
        <v>47</v>
      </c>
      <c r="C18" s="20"/>
      <c r="D18" s="19" t="s">
        <v>39</v>
      </c>
      <c r="E18" s="19" t="s">
        <v>18</v>
      </c>
      <c r="F18" s="19" t="s">
        <v>13</v>
      </c>
      <c r="G18" s="19"/>
      <c r="H18" s="19" t="s">
        <v>48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18" t="s">
        <v>43</v>
      </c>
      <c r="B19" s="19" t="s">
        <v>49</v>
      </c>
      <c r="C19" s="20"/>
      <c r="D19" s="19" t="s">
        <v>39</v>
      </c>
      <c r="E19" s="19" t="s">
        <v>18</v>
      </c>
      <c r="F19" s="19" t="s">
        <v>13</v>
      </c>
      <c r="G19" s="19"/>
      <c r="H19" s="19" t="s">
        <v>50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18" t="s">
        <v>43</v>
      </c>
      <c r="B20" s="19" t="s">
        <v>51</v>
      </c>
      <c r="C20" s="20"/>
      <c r="D20" s="19" t="s">
        <v>39</v>
      </c>
      <c r="E20" s="19" t="s">
        <v>18</v>
      </c>
      <c r="F20" s="19" t="s">
        <v>13</v>
      </c>
      <c r="G20" s="19"/>
      <c r="H20" s="19" t="s">
        <v>52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18" t="s">
        <v>43</v>
      </c>
      <c r="B21" s="19" t="s">
        <v>53</v>
      </c>
      <c r="C21" s="20"/>
      <c r="D21" s="19" t="s">
        <v>39</v>
      </c>
      <c r="E21" s="19" t="s">
        <v>18</v>
      </c>
      <c r="F21" s="19" t="s">
        <v>13</v>
      </c>
      <c r="G21" s="19"/>
      <c r="H21" s="19" t="s">
        <v>54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18" t="s">
        <v>55</v>
      </c>
      <c r="B22" s="19" t="s">
        <v>56</v>
      </c>
      <c r="C22" s="20"/>
      <c r="D22" s="19" t="s">
        <v>39</v>
      </c>
      <c r="E22" s="19" t="s">
        <v>12</v>
      </c>
      <c r="F22" s="19" t="s">
        <v>13</v>
      </c>
      <c r="G22" s="19"/>
      <c r="H22" s="19" t="s">
        <v>57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18" t="s">
        <v>55</v>
      </c>
      <c r="B23" s="19" t="s">
        <v>58</v>
      </c>
      <c r="C23" s="20"/>
      <c r="D23" s="19" t="s">
        <v>39</v>
      </c>
      <c r="E23" s="19" t="s">
        <v>18</v>
      </c>
      <c r="F23" s="19" t="s">
        <v>13</v>
      </c>
      <c r="G23" s="19"/>
      <c r="H23" s="19" t="s">
        <v>59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18" t="s">
        <v>55</v>
      </c>
      <c r="B24" s="19" t="s">
        <v>60</v>
      </c>
      <c r="C24" s="20"/>
      <c r="D24" s="19" t="s">
        <v>39</v>
      </c>
      <c r="E24" s="19" t="s">
        <v>61</v>
      </c>
      <c r="F24" s="19" t="s">
        <v>13</v>
      </c>
      <c r="G24" s="19"/>
      <c r="H24" s="19" t="s">
        <v>62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18" t="s">
        <v>55</v>
      </c>
      <c r="B25" s="19" t="s">
        <v>63</v>
      </c>
      <c r="C25" s="20"/>
      <c r="D25" s="19"/>
      <c r="E25" s="19" t="s">
        <v>18</v>
      </c>
      <c r="F25" s="19" t="s">
        <v>13</v>
      </c>
      <c r="G25" s="19"/>
      <c r="H25" s="19" t="s">
        <v>64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18" t="s">
        <v>55</v>
      </c>
      <c r="B26" s="19" t="s">
        <v>65</v>
      </c>
      <c r="C26" s="20"/>
      <c r="D26" s="19" t="s">
        <v>39</v>
      </c>
      <c r="E26" s="19" t="s">
        <v>61</v>
      </c>
      <c r="F26" s="19" t="s">
        <v>13</v>
      </c>
      <c r="G26" s="19"/>
      <c r="H26" s="19" t="s">
        <v>66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18" t="s">
        <v>67</v>
      </c>
      <c r="B27" s="19" t="s">
        <v>68</v>
      </c>
      <c r="C27" s="21"/>
      <c r="D27" s="19" t="s">
        <v>25</v>
      </c>
      <c r="E27" s="19" t="s">
        <v>32</v>
      </c>
      <c r="F27" s="19" t="s">
        <v>13</v>
      </c>
      <c r="G27" s="19"/>
      <c r="H27" s="19" t="s">
        <v>69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18" t="s">
        <v>67</v>
      </c>
      <c r="B28" s="19" t="s">
        <v>70</v>
      </c>
      <c r="C28" s="20"/>
      <c r="D28" s="19" t="s">
        <v>39</v>
      </c>
      <c r="E28" s="19" t="s">
        <v>18</v>
      </c>
      <c r="F28" s="19" t="s">
        <v>13</v>
      </c>
      <c r="G28" s="19"/>
      <c r="H28" s="19" t="s">
        <v>71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18" t="s">
        <v>67</v>
      </c>
      <c r="B29" s="19" t="s">
        <v>72</v>
      </c>
      <c r="C29" s="20"/>
      <c r="D29" s="19" t="s">
        <v>39</v>
      </c>
      <c r="E29" s="19" t="s">
        <v>18</v>
      </c>
      <c r="F29" s="19" t="s">
        <v>13</v>
      </c>
      <c r="G29" s="19"/>
      <c r="H29" s="19" t="s">
        <v>73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18" t="s">
        <v>67</v>
      </c>
      <c r="B30" s="19" t="s">
        <v>74</v>
      </c>
      <c r="C30" s="20"/>
      <c r="D30" s="19" t="s">
        <v>39</v>
      </c>
      <c r="E30" s="19" t="s">
        <v>12</v>
      </c>
      <c r="F30" s="19" t="s">
        <v>13</v>
      </c>
      <c r="G30" s="19"/>
      <c r="H30" s="19" t="s">
        <v>75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18" t="s">
        <v>67</v>
      </c>
      <c r="B31" s="19" t="s">
        <v>76</v>
      </c>
      <c r="C31" s="20"/>
      <c r="D31" s="19" t="s">
        <v>77</v>
      </c>
      <c r="E31" s="19" t="s">
        <v>12</v>
      </c>
      <c r="F31" s="19" t="s">
        <v>13</v>
      </c>
      <c r="G31" s="19"/>
      <c r="H31" s="19" t="s">
        <v>78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18" t="s">
        <v>79</v>
      </c>
      <c r="B32" s="19" t="s">
        <v>80</v>
      </c>
      <c r="C32" s="20"/>
      <c r="D32" s="19"/>
      <c r="E32" s="19" t="s">
        <v>12</v>
      </c>
      <c r="F32" s="19" t="s">
        <v>13</v>
      </c>
      <c r="G32" s="19"/>
      <c r="H32" s="19" t="s">
        <v>81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18" t="s">
        <v>79</v>
      </c>
      <c r="B33" s="19" t="s">
        <v>82</v>
      </c>
      <c r="C33" s="20"/>
      <c r="D33" s="19" t="s">
        <v>39</v>
      </c>
      <c r="E33" s="19" t="s">
        <v>12</v>
      </c>
      <c r="F33" s="19" t="s">
        <v>13</v>
      </c>
      <c r="G33" s="19"/>
      <c r="H33" s="19" t="s">
        <v>83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18" t="s">
        <v>79</v>
      </c>
      <c r="B34" s="19" t="s">
        <v>84</v>
      </c>
      <c r="C34" s="20"/>
      <c r="D34" s="19" t="s">
        <v>39</v>
      </c>
      <c r="E34" s="19" t="s">
        <v>18</v>
      </c>
      <c r="F34" s="19" t="s">
        <v>13</v>
      </c>
      <c r="G34" s="19"/>
      <c r="H34" s="19" t="s">
        <v>85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18" t="s">
        <v>79</v>
      </c>
      <c r="B35" s="19" t="s">
        <v>86</v>
      </c>
      <c r="C35" s="20"/>
      <c r="D35" s="19" t="s">
        <v>39</v>
      </c>
      <c r="E35" s="19" t="s">
        <v>18</v>
      </c>
      <c r="F35" s="19" t="s">
        <v>13</v>
      </c>
      <c r="G35" s="19"/>
      <c r="H35" s="19" t="s">
        <v>87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18" t="s">
        <v>88</v>
      </c>
      <c r="B36" s="19" t="s">
        <v>89</v>
      </c>
      <c r="C36" s="20"/>
      <c r="D36" s="19"/>
      <c r="E36" s="19" t="s">
        <v>32</v>
      </c>
      <c r="F36" s="19" t="s">
        <v>13</v>
      </c>
      <c r="G36" s="19"/>
      <c r="H36" s="19" t="s">
        <v>90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18" t="s">
        <v>88</v>
      </c>
      <c r="B37" s="19" t="s">
        <v>91</v>
      </c>
      <c r="C37" s="20"/>
      <c r="D37" s="19" t="s">
        <v>92</v>
      </c>
      <c r="E37" s="19" t="s">
        <v>12</v>
      </c>
      <c r="F37" s="19" t="s">
        <v>13</v>
      </c>
      <c r="G37" s="19"/>
      <c r="H37" s="19" t="s">
        <v>93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649999999999999" customHeight="1">
      <c r="A38" s="18" t="s">
        <v>88</v>
      </c>
      <c r="B38" s="19" t="s">
        <v>94</v>
      </c>
      <c r="C38" s="20"/>
      <c r="D38" s="19" t="s">
        <v>95</v>
      </c>
      <c r="E38" s="19" t="s">
        <v>12</v>
      </c>
      <c r="F38" s="19" t="s">
        <v>13</v>
      </c>
      <c r="G38" s="19"/>
      <c r="H38" s="19" t="s">
        <v>96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18" t="s">
        <v>88</v>
      </c>
      <c r="B39" s="19" t="s">
        <v>97</v>
      </c>
      <c r="C39" s="20"/>
      <c r="D39" s="19"/>
      <c r="E39" s="19" t="s">
        <v>32</v>
      </c>
      <c r="F39" s="19" t="s">
        <v>13</v>
      </c>
      <c r="G39" s="19"/>
      <c r="H39" s="19" t="s">
        <v>98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18" t="s">
        <v>88</v>
      </c>
      <c r="B40" s="19" t="s">
        <v>99</v>
      </c>
      <c r="C40" s="20"/>
      <c r="D40" s="19" t="s">
        <v>39</v>
      </c>
      <c r="E40" s="19" t="s">
        <v>12</v>
      </c>
      <c r="F40" s="19" t="s">
        <v>13</v>
      </c>
      <c r="G40" s="19"/>
      <c r="H40" s="19" t="s">
        <v>100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649999999999999" customHeight="1">
      <c r="A41" s="18" t="s">
        <v>101</v>
      </c>
      <c r="B41" s="19" t="s">
        <v>102</v>
      </c>
      <c r="C41" s="20"/>
      <c r="D41" s="19"/>
      <c r="E41" s="19" t="s">
        <v>32</v>
      </c>
      <c r="F41" s="19" t="s">
        <v>13</v>
      </c>
      <c r="G41" s="19"/>
      <c r="H41" s="19" t="s">
        <v>103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18" t="s">
        <v>101</v>
      </c>
      <c r="B42" s="19" t="s">
        <v>104</v>
      </c>
      <c r="C42" s="20"/>
      <c r="D42" s="19" t="s">
        <v>39</v>
      </c>
      <c r="E42" s="19" t="s">
        <v>32</v>
      </c>
      <c r="F42" s="19" t="s">
        <v>13</v>
      </c>
      <c r="G42" s="19"/>
      <c r="H42" s="19" t="s">
        <v>105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18" t="s">
        <v>101</v>
      </c>
      <c r="B43" s="19" t="s">
        <v>106</v>
      </c>
      <c r="C43" s="20"/>
      <c r="D43" s="19" t="s">
        <v>39</v>
      </c>
      <c r="E43" s="19" t="s">
        <v>32</v>
      </c>
      <c r="F43" s="19" t="s">
        <v>13</v>
      </c>
      <c r="G43" s="19"/>
      <c r="H43" s="19" t="s">
        <v>107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</sheetData>
  <mergeCells count="2">
    <mergeCell ref="A2:H2"/>
    <mergeCell ref="A1:H1"/>
  </mergeCells>
  <conditionalFormatting sqref="F5:F43">
    <cfRule type="expression" dxfId="2" priority="1">
      <formula>F5="Complete"</formula>
    </cfRule>
    <cfRule type="expression" dxfId="1" priority="2">
      <formula>F5="Needs Follow-up"</formula>
    </cfRule>
    <cfRule type="expression" dxfId="0" priority="3">
      <formula>F5="Not Started"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>
      <selection activeCell="A3" sqref="A3"/>
    </sheetView>
  </sheetViews>
  <sheetFormatPr defaultRowHeight="14"/>
  <cols>
    <col min="1" max="1" width="26" customWidth="1"/>
    <col min="2" max="4" width="14" customWidth="1"/>
    <col min="5" max="7" width="32" customWidth="1"/>
    <col min="8" max="8" width="18" customWidth="1"/>
    <col min="10" max="12" width="22" customWidth="1"/>
  </cols>
  <sheetData>
    <row r="1" spans="1:26" ht="20" customHeight="1">
      <c r="A1" s="25" t="s">
        <v>109</v>
      </c>
      <c r="B1" s="24"/>
      <c r="C1" s="24"/>
      <c r="D1" s="24"/>
      <c r="E1" s="24"/>
      <c r="F1" s="24"/>
      <c r="G1" s="24"/>
      <c r="H1" s="2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23" t="s">
        <v>110</v>
      </c>
      <c r="B2" s="24"/>
      <c r="C2" s="24"/>
      <c r="D2" s="24"/>
      <c r="E2" s="24"/>
      <c r="F2" s="24"/>
      <c r="G2" s="24"/>
      <c r="H2" s="2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8.649999999999999" customHeight="1">
      <c r="A4" s="6" t="s">
        <v>111</v>
      </c>
      <c r="B4" s="6" t="s">
        <v>112</v>
      </c>
      <c r="C4" s="6" t="s">
        <v>113</v>
      </c>
      <c r="D4" s="6" t="s">
        <v>114</v>
      </c>
      <c r="E4" s="6" t="s">
        <v>115</v>
      </c>
      <c r="F4" s="6" t="s">
        <v>116</v>
      </c>
      <c r="G4" s="6" t="s">
        <v>117</v>
      </c>
      <c r="H4" s="6" t="s">
        <v>118</v>
      </c>
      <c r="I4" s="5"/>
      <c r="J4" s="26" t="s">
        <v>119</v>
      </c>
      <c r="K4" s="24"/>
      <c r="L4" s="24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.649999999999999" customHeight="1">
      <c r="A5" s="1" t="s">
        <v>120</v>
      </c>
      <c r="B5" s="2"/>
      <c r="C5" s="3">
        <v>15</v>
      </c>
      <c r="D5" s="3" t="str">
        <f t="shared" ref="D5:D12" si="0">IF(OR(B5="",C5=""),"",B5/5*C5)</f>
        <v/>
      </c>
      <c r="E5" s="1"/>
      <c r="F5" s="1"/>
      <c r="G5" s="1"/>
      <c r="H5" s="1"/>
      <c r="I5" s="5"/>
      <c r="J5" s="7" t="s">
        <v>121</v>
      </c>
      <c r="K5" s="8">
        <f>SUM(D5:D12)</f>
        <v>0</v>
      </c>
      <c r="L5" s="5" t="s">
        <v>122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1" t="s">
        <v>123</v>
      </c>
      <c r="B6" s="2"/>
      <c r="C6" s="3">
        <v>15</v>
      </c>
      <c r="D6" s="3" t="str">
        <f t="shared" si="0"/>
        <v/>
      </c>
      <c r="E6" s="1"/>
      <c r="F6" s="1"/>
      <c r="G6" s="1"/>
      <c r="H6" s="1"/>
      <c r="I6" s="5"/>
      <c r="J6" s="7" t="s">
        <v>124</v>
      </c>
      <c r="K6" s="8" t="e">
        <f>AVERAGE(B5:B12)</f>
        <v>#DIV/0!</v>
      </c>
      <c r="L6" s="5" t="s">
        <v>125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1" t="s">
        <v>126</v>
      </c>
      <c r="B7" s="2"/>
      <c r="C7" s="3">
        <v>12</v>
      </c>
      <c r="D7" s="3" t="str">
        <f t="shared" si="0"/>
        <v/>
      </c>
      <c r="E7" s="1"/>
      <c r="F7" s="1"/>
      <c r="G7" s="1"/>
      <c r="H7" s="1"/>
      <c r="I7" s="5"/>
      <c r="J7" s="7" t="s">
        <v>127</v>
      </c>
      <c r="K7" s="9" t="str">
        <f>IF(K5="","",IF(K5&gt;=80,"RFP-ready",IF(K5&gt;=65,"Mostly ready",IF(K5&gt;=45,"Needs structuring","Not ready"))))</f>
        <v>Not ready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1" t="s">
        <v>128</v>
      </c>
      <c r="B8" s="2"/>
      <c r="C8" s="3">
        <v>10</v>
      </c>
      <c r="D8" s="3" t="str">
        <f t="shared" si="0"/>
        <v/>
      </c>
      <c r="E8" s="1"/>
      <c r="F8" s="1"/>
      <c r="G8" s="1"/>
      <c r="H8" s="1"/>
      <c r="I8" s="5"/>
      <c r="J8" s="7" t="s">
        <v>129</v>
      </c>
      <c r="K8" s="10">
        <f>COUNTIF(B5:B12,"&lt;=2")</f>
        <v>0</v>
      </c>
      <c r="L8" s="5" t="s">
        <v>130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1" t="s">
        <v>131</v>
      </c>
      <c r="B9" s="2"/>
      <c r="C9" s="3">
        <v>18</v>
      </c>
      <c r="D9" s="3" t="str">
        <f t="shared" si="0"/>
        <v/>
      </c>
      <c r="E9" s="1"/>
      <c r="F9" s="1"/>
      <c r="G9" s="1"/>
      <c r="H9" s="1"/>
      <c r="I9" s="5"/>
      <c r="J9" s="7" t="s">
        <v>132</v>
      </c>
      <c r="K9" s="11">
        <f ca="1">IF(Intake_Form!C10="",TODAY()+30,Intake_Form!C10)</f>
        <v>46183</v>
      </c>
      <c r="L9" s="5" t="s">
        <v>25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1" t="s">
        <v>133</v>
      </c>
      <c r="B10" s="2"/>
      <c r="C10" s="3">
        <v>12</v>
      </c>
      <c r="D10" s="3" t="str">
        <f t="shared" si="0"/>
        <v/>
      </c>
      <c r="E10" s="1"/>
      <c r="F10" s="1"/>
      <c r="G10" s="1"/>
      <c r="H10" s="1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1" t="s">
        <v>134</v>
      </c>
      <c r="B11" s="2"/>
      <c r="C11" s="3">
        <v>10</v>
      </c>
      <c r="D11" s="3" t="str">
        <f t="shared" si="0"/>
        <v/>
      </c>
      <c r="E11" s="1"/>
      <c r="F11" s="1"/>
      <c r="G11" s="1"/>
      <c r="H11" s="1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1" t="s">
        <v>135</v>
      </c>
      <c r="B12" s="2"/>
      <c r="C12" s="3">
        <v>8</v>
      </c>
      <c r="D12" s="3" t="str">
        <f t="shared" si="0"/>
        <v/>
      </c>
      <c r="E12" s="1"/>
      <c r="F12" s="1"/>
      <c r="G12" s="1"/>
      <c r="H12" s="1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</sheetData>
  <mergeCells count="3">
    <mergeCell ref="A2:H2"/>
    <mergeCell ref="J4:L4"/>
    <mergeCell ref="A1:H1"/>
  </mergeCells>
  <conditionalFormatting sqref="B5:B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sqref="B5:B12" xr:uid="{00000000-0002-0000-0200-000000000000}">
      <formula1>1</formula1>
      <formula2>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>
      <selection activeCell="A3" sqref="A3"/>
    </sheetView>
  </sheetViews>
  <sheetFormatPr defaultRowHeight="14"/>
  <cols>
    <col min="1" max="1" width="28" customWidth="1"/>
    <col min="2" max="2" width="38" customWidth="1"/>
    <col min="3" max="8" width="20" customWidth="1"/>
  </cols>
  <sheetData>
    <row r="1" spans="1:26" ht="20" customHeight="1">
      <c r="A1" s="31" t="s">
        <v>136</v>
      </c>
      <c r="B1" s="24"/>
      <c r="C1" s="24"/>
      <c r="D1" s="24"/>
      <c r="E1" s="24"/>
      <c r="F1" s="24"/>
      <c r="G1" s="24"/>
      <c r="H1" s="2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23" t="s">
        <v>137</v>
      </c>
      <c r="B2" s="24"/>
      <c r="C2" s="24"/>
      <c r="D2" s="24"/>
      <c r="E2" s="24"/>
      <c r="F2" s="24"/>
      <c r="G2" s="24"/>
      <c r="H2" s="2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4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27" t="s">
        <v>138</v>
      </c>
      <c r="B4" s="24"/>
      <c r="C4" s="24"/>
      <c r="D4" s="24"/>
      <c r="E4" s="24"/>
      <c r="F4" s="24"/>
      <c r="G4" s="24"/>
      <c r="H4" s="2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28" t="s">
        <v>139</v>
      </c>
      <c r="B5" s="24"/>
      <c r="C5" s="29">
        <f>Intake_Form!C5</f>
        <v>0</v>
      </c>
      <c r="D5" s="24"/>
      <c r="E5" s="24"/>
      <c r="F5" s="24"/>
      <c r="G5" s="24"/>
      <c r="H5" s="2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28" t="s">
        <v>15</v>
      </c>
      <c r="B6" s="24"/>
      <c r="C6" s="29">
        <f>Intake_Form!C6</f>
        <v>0</v>
      </c>
      <c r="D6" s="24"/>
      <c r="E6" s="24"/>
      <c r="F6" s="24"/>
      <c r="G6" s="24"/>
      <c r="H6" s="2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28" t="s">
        <v>140</v>
      </c>
      <c r="B7" s="24"/>
      <c r="C7" s="29">
        <f>Intake_Form!C8</f>
        <v>0</v>
      </c>
      <c r="D7" s="24"/>
      <c r="E7" s="24"/>
      <c r="F7" s="24"/>
      <c r="G7" s="24"/>
      <c r="H7" s="2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28" t="s">
        <v>22</v>
      </c>
      <c r="B8" s="24"/>
      <c r="C8" s="29">
        <f>Intake_Form!C9</f>
        <v>0</v>
      </c>
      <c r="D8" s="24"/>
      <c r="E8" s="24"/>
      <c r="F8" s="24"/>
      <c r="G8" s="24"/>
      <c r="H8" s="2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4"/>
      <c r="B9" s="4"/>
      <c r="C9" s="4"/>
      <c r="D9" s="4"/>
      <c r="E9" s="4"/>
      <c r="F9" s="4"/>
      <c r="G9" s="4"/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27" t="s">
        <v>141</v>
      </c>
      <c r="B10" s="24"/>
      <c r="C10" s="24"/>
      <c r="D10" s="24"/>
      <c r="E10" s="24"/>
      <c r="F10" s="24"/>
      <c r="G10" s="24"/>
      <c r="H10" s="2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28" t="s">
        <v>30</v>
      </c>
      <c r="B11" s="24"/>
      <c r="C11" s="29">
        <f>Intake_Form!C12</f>
        <v>0</v>
      </c>
      <c r="D11" s="24"/>
      <c r="E11" s="24"/>
      <c r="F11" s="24"/>
      <c r="G11" s="24"/>
      <c r="H11" s="2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28" t="s">
        <v>34</v>
      </c>
      <c r="B12" s="24"/>
      <c r="C12" s="29">
        <f>Intake_Form!C13</f>
        <v>0</v>
      </c>
      <c r="D12" s="24"/>
      <c r="E12" s="24"/>
      <c r="F12" s="24"/>
      <c r="G12" s="24"/>
      <c r="H12" s="2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28" t="s">
        <v>36</v>
      </c>
      <c r="B13" s="24"/>
      <c r="C13" s="29">
        <f>Intake_Form!C14</f>
        <v>0</v>
      </c>
      <c r="D13" s="24"/>
      <c r="E13" s="24"/>
      <c r="F13" s="24"/>
      <c r="G13" s="24"/>
      <c r="H13" s="2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28" t="s">
        <v>142</v>
      </c>
      <c r="B14" s="24"/>
      <c r="C14" s="29">
        <f>Intake_Form!C15</f>
        <v>0</v>
      </c>
      <c r="D14" s="24"/>
      <c r="E14" s="24"/>
      <c r="F14" s="24"/>
      <c r="G14" s="24"/>
      <c r="H14" s="2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28" t="s">
        <v>24</v>
      </c>
      <c r="B15" s="24"/>
      <c r="C15" s="30">
        <f>Intake_Form!C10</f>
        <v>0</v>
      </c>
      <c r="D15" s="24"/>
      <c r="E15" s="24"/>
      <c r="F15" s="24"/>
      <c r="G15" s="24"/>
      <c r="H15" s="2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4"/>
      <c r="B16" s="4"/>
      <c r="C16" s="4"/>
      <c r="D16" s="4"/>
      <c r="E16" s="4"/>
      <c r="F16" s="4"/>
      <c r="G16" s="4"/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27" t="s">
        <v>43</v>
      </c>
      <c r="B17" s="24"/>
      <c r="C17" s="24"/>
      <c r="D17" s="24"/>
      <c r="E17" s="24"/>
      <c r="F17" s="24"/>
      <c r="G17" s="24"/>
      <c r="H17" s="2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28" t="s">
        <v>143</v>
      </c>
      <c r="B18" s="24"/>
      <c r="C18" s="29">
        <f>Intake_Form!C17</f>
        <v>0</v>
      </c>
      <c r="D18" s="24"/>
      <c r="E18" s="24"/>
      <c r="F18" s="24"/>
      <c r="G18" s="24"/>
      <c r="H18" s="2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28" t="s">
        <v>47</v>
      </c>
      <c r="B19" s="24"/>
      <c r="C19" s="29">
        <f>Intake_Form!C18</f>
        <v>0</v>
      </c>
      <c r="D19" s="24"/>
      <c r="E19" s="24"/>
      <c r="F19" s="24"/>
      <c r="G19" s="24"/>
      <c r="H19" s="2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28" t="s">
        <v>49</v>
      </c>
      <c r="B20" s="24"/>
      <c r="C20" s="29">
        <f>Intake_Form!C19</f>
        <v>0</v>
      </c>
      <c r="D20" s="24"/>
      <c r="E20" s="24"/>
      <c r="F20" s="24"/>
      <c r="G20" s="24"/>
      <c r="H20" s="2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28" t="s">
        <v>144</v>
      </c>
      <c r="B21" s="24"/>
      <c r="C21" s="29">
        <f>Intake_Form!C20</f>
        <v>0</v>
      </c>
      <c r="D21" s="24"/>
      <c r="E21" s="24"/>
      <c r="F21" s="24"/>
      <c r="G21" s="24"/>
      <c r="H21" s="2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28" t="s">
        <v>145</v>
      </c>
      <c r="B22" s="24"/>
      <c r="C22" s="29">
        <f>Intake_Form!C21</f>
        <v>0</v>
      </c>
      <c r="D22" s="24"/>
      <c r="E22" s="24"/>
      <c r="F22" s="24"/>
      <c r="G22" s="24"/>
      <c r="H22" s="2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4"/>
      <c r="B23" s="4"/>
      <c r="C23" s="4"/>
      <c r="D23" s="4"/>
      <c r="E23" s="4"/>
      <c r="F23" s="4"/>
      <c r="G23" s="4"/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27" t="s">
        <v>146</v>
      </c>
      <c r="B24" s="24"/>
      <c r="C24" s="24"/>
      <c r="D24" s="24"/>
      <c r="E24" s="24"/>
      <c r="F24" s="24"/>
      <c r="G24" s="24"/>
      <c r="H24" s="2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28" t="s">
        <v>56</v>
      </c>
      <c r="B25" s="24"/>
      <c r="C25" s="29">
        <f>Intake_Form!C22</f>
        <v>0</v>
      </c>
      <c r="D25" s="24"/>
      <c r="E25" s="24"/>
      <c r="F25" s="24"/>
      <c r="G25" s="24"/>
      <c r="H25" s="2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28" t="s">
        <v>58</v>
      </c>
      <c r="B26" s="24"/>
      <c r="C26" s="29">
        <f>Intake_Form!C23</f>
        <v>0</v>
      </c>
      <c r="D26" s="24"/>
      <c r="E26" s="24"/>
      <c r="F26" s="24"/>
      <c r="G26" s="24"/>
      <c r="H26" s="2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28" t="s">
        <v>68</v>
      </c>
      <c r="B27" s="24"/>
      <c r="C27" s="30">
        <f>Intake_Form!C27</f>
        <v>0</v>
      </c>
      <c r="D27" s="24"/>
      <c r="E27" s="24"/>
      <c r="F27" s="24"/>
      <c r="G27" s="24"/>
      <c r="H27" s="2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28" t="s">
        <v>147</v>
      </c>
      <c r="B28" s="24"/>
      <c r="C28" s="29">
        <f>Intake_Form!C30</f>
        <v>0</v>
      </c>
      <c r="D28" s="24"/>
      <c r="E28" s="24"/>
      <c r="F28" s="24"/>
      <c r="G28" s="24"/>
      <c r="H28" s="2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28" t="s">
        <v>148</v>
      </c>
      <c r="B29" s="24"/>
      <c r="C29" s="29">
        <f>Intake_Form!C31</f>
        <v>0</v>
      </c>
      <c r="D29" s="24"/>
      <c r="E29" s="24"/>
      <c r="F29" s="24"/>
      <c r="G29" s="24"/>
      <c r="H29" s="2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4"/>
      <c r="B30" s="4"/>
      <c r="C30" s="4"/>
      <c r="D30" s="4"/>
      <c r="E30" s="4"/>
      <c r="F30" s="4"/>
      <c r="G30" s="4"/>
      <c r="H30" s="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27" t="s">
        <v>149</v>
      </c>
      <c r="B31" s="24"/>
      <c r="C31" s="24"/>
      <c r="D31" s="24"/>
      <c r="E31" s="24"/>
      <c r="F31" s="24"/>
      <c r="G31" s="24"/>
      <c r="H31" s="2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28" t="s">
        <v>89</v>
      </c>
      <c r="B32" s="24"/>
      <c r="C32" s="29">
        <f>Intake_Form!C36</f>
        <v>0</v>
      </c>
      <c r="D32" s="24"/>
      <c r="E32" s="24"/>
      <c r="F32" s="24"/>
      <c r="G32" s="24"/>
      <c r="H32" s="2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28" t="s">
        <v>150</v>
      </c>
      <c r="B33" s="24"/>
      <c r="C33" s="29">
        <f>Intake_Form!C37</f>
        <v>0</v>
      </c>
      <c r="D33" s="24"/>
      <c r="E33" s="24"/>
      <c r="F33" s="24"/>
      <c r="G33" s="24"/>
      <c r="H33" s="2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28" t="s">
        <v>94</v>
      </c>
      <c r="B34" s="24"/>
      <c r="C34" s="29">
        <f>Intake_Form!C38</f>
        <v>0</v>
      </c>
      <c r="D34" s="24"/>
      <c r="E34" s="24"/>
      <c r="F34" s="24"/>
      <c r="G34" s="24"/>
      <c r="H34" s="2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28" t="s">
        <v>97</v>
      </c>
      <c r="B35" s="24"/>
      <c r="C35" s="29">
        <f>Intake_Form!C39</f>
        <v>0</v>
      </c>
      <c r="D35" s="24"/>
      <c r="E35" s="24"/>
      <c r="F35" s="24"/>
      <c r="G35" s="24"/>
      <c r="H35" s="2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28" t="s">
        <v>99</v>
      </c>
      <c r="B36" s="24"/>
      <c r="C36" s="29">
        <f>Intake_Form!C40</f>
        <v>0</v>
      </c>
      <c r="D36" s="24"/>
      <c r="E36" s="24"/>
      <c r="F36" s="24"/>
      <c r="G36" s="24"/>
      <c r="H36" s="2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4"/>
      <c r="B37" s="4"/>
      <c r="C37" s="4"/>
      <c r="D37" s="4"/>
      <c r="E37" s="4"/>
      <c r="F37" s="4"/>
      <c r="G37" s="4"/>
      <c r="H37" s="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27" t="s">
        <v>151</v>
      </c>
      <c r="B38" s="24"/>
      <c r="C38" s="24"/>
      <c r="D38" s="24"/>
      <c r="E38" s="24"/>
      <c r="F38" s="24"/>
      <c r="G38" s="24"/>
      <c r="H38" s="2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28" t="s">
        <v>152</v>
      </c>
      <c r="B39" s="24"/>
      <c r="C39" s="29">
        <f>Readiness_Scorecard!K5</f>
        <v>0</v>
      </c>
      <c r="D39" s="24"/>
      <c r="E39" s="24"/>
      <c r="F39" s="24"/>
      <c r="G39" s="24"/>
      <c r="H39" s="2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28" t="s">
        <v>127</v>
      </c>
      <c r="B40" s="24"/>
      <c r="C40" s="29" t="str">
        <f>Readiness_Scorecard!K7</f>
        <v>Not ready</v>
      </c>
      <c r="D40" s="24"/>
      <c r="E40" s="24"/>
      <c r="F40" s="24"/>
      <c r="G40" s="24"/>
      <c r="H40" s="2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28" t="s">
        <v>104</v>
      </c>
      <c r="B41" s="24"/>
      <c r="C41" s="29">
        <f>Intake_Form!C42</f>
        <v>0</v>
      </c>
      <c r="D41" s="24"/>
      <c r="E41" s="24"/>
      <c r="F41" s="24"/>
      <c r="G41" s="24"/>
      <c r="H41" s="2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28" t="s">
        <v>106</v>
      </c>
      <c r="B42" s="24"/>
      <c r="C42" s="29">
        <f>Intake_Form!C43</f>
        <v>0</v>
      </c>
      <c r="D42" s="24"/>
      <c r="E42" s="24"/>
      <c r="F42" s="24"/>
      <c r="G42" s="24"/>
      <c r="H42" s="24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4"/>
      <c r="B43" s="4"/>
      <c r="C43" s="4"/>
      <c r="D43" s="4"/>
      <c r="E43" s="4"/>
      <c r="F43" s="4"/>
      <c r="G43" s="4"/>
      <c r="H43" s="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4"/>
      <c r="B44" s="4"/>
      <c r="C44" s="4"/>
      <c r="D44" s="4"/>
      <c r="E44" s="4"/>
      <c r="F44" s="4"/>
      <c r="G44" s="4"/>
      <c r="H44" s="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4"/>
      <c r="B45" s="4"/>
      <c r="C45" s="4"/>
      <c r="D45" s="4"/>
      <c r="E45" s="4"/>
      <c r="F45" s="4"/>
      <c r="G45" s="4"/>
      <c r="H45" s="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4"/>
      <c r="B46" s="4"/>
      <c r="C46" s="4"/>
      <c r="D46" s="4"/>
      <c r="E46" s="4"/>
      <c r="F46" s="4"/>
      <c r="G46" s="4"/>
      <c r="H46" s="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4"/>
      <c r="B47" s="4"/>
      <c r="C47" s="4"/>
      <c r="D47" s="4"/>
      <c r="E47" s="4"/>
      <c r="F47" s="4"/>
      <c r="G47" s="4"/>
      <c r="H47" s="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4"/>
      <c r="B48" s="4"/>
      <c r="C48" s="4"/>
      <c r="D48" s="4"/>
      <c r="E48" s="4"/>
      <c r="F48" s="4"/>
      <c r="G48" s="4"/>
      <c r="H48" s="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4"/>
      <c r="B49" s="4"/>
      <c r="C49" s="4"/>
      <c r="D49" s="4"/>
      <c r="E49" s="4"/>
      <c r="F49" s="4"/>
      <c r="G49" s="4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4"/>
      <c r="B50" s="4"/>
      <c r="C50" s="4"/>
      <c r="D50" s="4"/>
      <c r="E50" s="4"/>
      <c r="F50" s="4"/>
      <c r="G50" s="4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4"/>
      <c r="B51" s="4"/>
      <c r="C51" s="4"/>
      <c r="D51" s="4"/>
      <c r="E51" s="4"/>
      <c r="F51" s="4"/>
      <c r="G51" s="4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4"/>
      <c r="B52" s="4"/>
      <c r="C52" s="4"/>
      <c r="D52" s="4"/>
      <c r="E52" s="4"/>
      <c r="F52" s="4"/>
      <c r="G52" s="4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4"/>
      <c r="B53" s="4"/>
      <c r="C53" s="4"/>
      <c r="D53" s="4"/>
      <c r="E53" s="4"/>
      <c r="F53" s="4"/>
      <c r="G53" s="4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4"/>
      <c r="B54" s="4"/>
      <c r="C54" s="4"/>
      <c r="D54" s="4"/>
      <c r="E54" s="4"/>
      <c r="F54" s="4"/>
      <c r="G54" s="4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4"/>
      <c r="B55" s="4"/>
      <c r="C55" s="4"/>
      <c r="D55" s="4"/>
      <c r="E55" s="4"/>
      <c r="F55" s="4"/>
      <c r="G55" s="4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4"/>
      <c r="B56" s="4"/>
      <c r="C56" s="4"/>
      <c r="D56" s="4"/>
      <c r="E56" s="4"/>
      <c r="F56" s="4"/>
      <c r="G56" s="4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4"/>
      <c r="B57" s="4"/>
      <c r="C57" s="4"/>
      <c r="D57" s="4"/>
      <c r="E57" s="4"/>
      <c r="F57" s="4"/>
      <c r="G57" s="4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4"/>
      <c r="B58" s="4"/>
      <c r="C58" s="4"/>
      <c r="D58" s="4"/>
      <c r="E58" s="4"/>
      <c r="F58" s="4"/>
      <c r="G58" s="4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4"/>
      <c r="B59" s="4"/>
      <c r="C59" s="4"/>
      <c r="D59" s="4"/>
      <c r="E59" s="4"/>
      <c r="F59" s="4"/>
      <c r="G59" s="4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4"/>
      <c r="B60" s="4"/>
      <c r="C60" s="4"/>
      <c r="D60" s="4"/>
      <c r="E60" s="4"/>
      <c r="F60" s="4"/>
      <c r="G60" s="4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4"/>
      <c r="B61" s="4"/>
      <c r="C61" s="4"/>
      <c r="D61" s="4"/>
      <c r="E61" s="4"/>
      <c r="F61" s="4"/>
      <c r="G61" s="4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4"/>
      <c r="B62" s="4"/>
      <c r="C62" s="4"/>
      <c r="D62" s="4"/>
      <c r="E62" s="4"/>
      <c r="F62" s="4"/>
      <c r="G62" s="4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4"/>
      <c r="B63" s="4"/>
      <c r="C63" s="4"/>
      <c r="D63" s="4"/>
      <c r="E63" s="4"/>
      <c r="F63" s="4"/>
      <c r="G63" s="4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4"/>
      <c r="B64" s="4"/>
      <c r="C64" s="4"/>
      <c r="D64" s="4"/>
      <c r="E64" s="4"/>
      <c r="F64" s="4"/>
      <c r="G64" s="4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4"/>
      <c r="B65" s="4"/>
      <c r="C65" s="4"/>
      <c r="D65" s="4"/>
      <c r="E65" s="4"/>
      <c r="F65" s="4"/>
      <c r="G65" s="4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4"/>
      <c r="B66" s="4"/>
      <c r="C66" s="4"/>
      <c r="D66" s="4"/>
      <c r="E66" s="4"/>
      <c r="F66" s="4"/>
      <c r="G66" s="4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4"/>
      <c r="B67" s="4"/>
      <c r="C67" s="4"/>
      <c r="D67" s="4"/>
      <c r="E67" s="4"/>
      <c r="F67" s="4"/>
      <c r="G67" s="4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4"/>
      <c r="B68" s="4"/>
      <c r="C68" s="4"/>
      <c r="D68" s="4"/>
      <c r="E68" s="4"/>
      <c r="F68" s="4"/>
      <c r="G68" s="4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4"/>
      <c r="B69" s="4"/>
      <c r="C69" s="4"/>
      <c r="D69" s="4"/>
      <c r="E69" s="4"/>
      <c r="F69" s="4"/>
      <c r="G69" s="4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4"/>
      <c r="B70" s="4"/>
      <c r="C70" s="4"/>
      <c r="D70" s="4"/>
      <c r="E70" s="4"/>
      <c r="F70" s="4"/>
      <c r="G70" s="4"/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4"/>
      <c r="B71" s="4"/>
      <c r="C71" s="4"/>
      <c r="D71" s="4"/>
      <c r="E71" s="4"/>
      <c r="F71" s="4"/>
      <c r="G71" s="4"/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4"/>
      <c r="B72" s="4"/>
      <c r="C72" s="4"/>
      <c r="D72" s="4"/>
      <c r="E72" s="4"/>
      <c r="F72" s="4"/>
      <c r="G72" s="4"/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4"/>
      <c r="B73" s="4"/>
      <c r="C73" s="4"/>
      <c r="D73" s="4"/>
      <c r="E73" s="4"/>
      <c r="F73" s="4"/>
      <c r="G73" s="4"/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4"/>
      <c r="B74" s="4"/>
      <c r="C74" s="4"/>
      <c r="D74" s="4"/>
      <c r="E74" s="4"/>
      <c r="F74" s="4"/>
      <c r="G74" s="4"/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4"/>
      <c r="B75" s="4"/>
      <c r="C75" s="4"/>
      <c r="D75" s="4"/>
      <c r="E75" s="4"/>
      <c r="F75" s="4"/>
      <c r="G75" s="4"/>
      <c r="H75" s="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4"/>
      <c r="B76" s="4"/>
      <c r="C76" s="4"/>
      <c r="D76" s="4"/>
      <c r="E76" s="4"/>
      <c r="F76" s="4"/>
      <c r="G76" s="4"/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4"/>
      <c r="B77" s="4"/>
      <c r="C77" s="4"/>
      <c r="D77" s="4"/>
      <c r="E77" s="4"/>
      <c r="F77" s="4"/>
      <c r="G77" s="4"/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4"/>
      <c r="B78" s="4"/>
      <c r="C78" s="4"/>
      <c r="D78" s="4"/>
      <c r="E78" s="4"/>
      <c r="F78" s="4"/>
      <c r="G78" s="4"/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4"/>
      <c r="B79" s="4"/>
      <c r="C79" s="4"/>
      <c r="D79" s="4"/>
      <c r="E79" s="4"/>
      <c r="F79" s="4"/>
      <c r="G79" s="4"/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4"/>
      <c r="B80" s="4"/>
      <c r="C80" s="4"/>
      <c r="D80" s="4"/>
      <c r="E80" s="4"/>
      <c r="F80" s="4"/>
      <c r="G80" s="4"/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</sheetData>
  <mergeCells count="64">
    <mergeCell ref="C41:H41"/>
    <mergeCell ref="A15:B15"/>
    <mergeCell ref="C22:H22"/>
    <mergeCell ref="A41:B41"/>
    <mergeCell ref="A27:B27"/>
    <mergeCell ref="A38:H38"/>
    <mergeCell ref="C35:H35"/>
    <mergeCell ref="A40:B40"/>
    <mergeCell ref="A39:B39"/>
    <mergeCell ref="A34:B34"/>
    <mergeCell ref="C40:H40"/>
    <mergeCell ref="A36:B36"/>
    <mergeCell ref="A1:H1"/>
    <mergeCell ref="C12:H12"/>
    <mergeCell ref="A6:B6"/>
    <mergeCell ref="C21:H21"/>
    <mergeCell ref="C11:H11"/>
    <mergeCell ref="A7:B7"/>
    <mergeCell ref="A25:B25"/>
    <mergeCell ref="C36:H36"/>
    <mergeCell ref="C27:H27"/>
    <mergeCell ref="C39:H39"/>
    <mergeCell ref="C8:H8"/>
    <mergeCell ref="A18:B18"/>
    <mergeCell ref="C25:H25"/>
    <mergeCell ref="C26:H26"/>
    <mergeCell ref="C32:H32"/>
    <mergeCell ref="A21:B21"/>
    <mergeCell ref="C19:H19"/>
    <mergeCell ref="A26:B26"/>
    <mergeCell ref="C28:H28"/>
    <mergeCell ref="A31:H31"/>
    <mergeCell ref="A24:H24"/>
    <mergeCell ref="A2:H2"/>
    <mergeCell ref="A33:B33"/>
    <mergeCell ref="A42:B42"/>
    <mergeCell ref="A5:B5"/>
    <mergeCell ref="A32:B32"/>
    <mergeCell ref="A14:B14"/>
    <mergeCell ref="C18:H18"/>
    <mergeCell ref="C34:H34"/>
    <mergeCell ref="A8:B8"/>
    <mergeCell ref="A22:B22"/>
    <mergeCell ref="A35:B35"/>
    <mergeCell ref="C33:H33"/>
    <mergeCell ref="A17:H17"/>
    <mergeCell ref="A20:B20"/>
    <mergeCell ref="C15:H15"/>
    <mergeCell ref="C42:H42"/>
    <mergeCell ref="A4:H4"/>
    <mergeCell ref="A29:B29"/>
    <mergeCell ref="C6:H6"/>
    <mergeCell ref="C14:H14"/>
    <mergeCell ref="A19:B19"/>
    <mergeCell ref="C5:H5"/>
    <mergeCell ref="A10:H10"/>
    <mergeCell ref="A28:B28"/>
    <mergeCell ref="A13:B13"/>
    <mergeCell ref="C29:H29"/>
    <mergeCell ref="C20:H20"/>
    <mergeCell ref="C7:H7"/>
    <mergeCell ref="A12:B12"/>
    <mergeCell ref="C13:H13"/>
    <mergeCell ref="A11:B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"/>
  <sheetViews>
    <sheetView workbookViewId="0"/>
  </sheetViews>
  <sheetFormatPr defaultRowHeight="14"/>
  <cols>
    <col min="1" max="1" width="12" customWidth="1"/>
    <col min="2" max="2" width="18" customWidth="1"/>
    <col min="3" max="4" width="16" customWidth="1"/>
    <col min="5" max="5" width="36" customWidth="1"/>
    <col min="6" max="7" width="14" customWidth="1"/>
    <col min="8" max="8" width="40" customWidth="1"/>
    <col min="10" max="13" width="24" customWidth="1"/>
  </cols>
  <sheetData>
    <row r="1" spans="1:26">
      <c r="A1" s="14" t="s">
        <v>25</v>
      </c>
      <c r="B1" s="15" t="s">
        <v>153</v>
      </c>
      <c r="C1" s="15" t="s">
        <v>154</v>
      </c>
      <c r="D1" s="15" t="s">
        <v>155</v>
      </c>
      <c r="E1" s="15" t="s">
        <v>156</v>
      </c>
      <c r="F1" s="15" t="s">
        <v>157</v>
      </c>
      <c r="G1" s="15" t="s">
        <v>158</v>
      </c>
      <c r="H1" s="15" t="s">
        <v>159</v>
      </c>
      <c r="I1" s="4"/>
      <c r="J1" s="6"/>
      <c r="K1" s="6"/>
      <c r="L1" s="6"/>
      <c r="M1" s="6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</sheetData>
  <dataValidations count="2">
    <dataValidation type="list" sqref="F2:F200" xr:uid="{00000000-0002-0000-0400-000000000000}">
      <formula1>"complete,closed,in_progress,open,not_started"</formula1>
    </dataValidation>
    <dataValidation type="list" sqref="G2:G200" xr:uid="{00000000-0002-0000-0400-000001000000}">
      <formula1>"critical,high,medium,low"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/>
  </sheetViews>
  <sheetFormatPr defaultRowHeight="14"/>
  <cols>
    <col min="1" max="10" width="24" customWidth="1"/>
    <col min="11" max="11" width="24.83203125" customWidth="1"/>
    <col min="12" max="12" width="31.33203125" customWidth="1"/>
    <col min="13" max="13" width="48.25" customWidth="1"/>
    <col min="14" max="14" width="24" customWidth="1"/>
  </cols>
  <sheetData>
    <row r="1" spans="1:26">
      <c r="A1" s="6" t="s">
        <v>7</v>
      </c>
      <c r="B1" s="6" t="s">
        <v>160</v>
      </c>
      <c r="C1" s="6" t="s">
        <v>140</v>
      </c>
      <c r="D1" s="6" t="s">
        <v>149</v>
      </c>
      <c r="E1" s="6" t="s">
        <v>6</v>
      </c>
      <c r="F1" s="6" t="s">
        <v>161</v>
      </c>
      <c r="G1" s="6" t="s">
        <v>162</v>
      </c>
      <c r="H1" s="6" t="s">
        <v>163</v>
      </c>
      <c r="I1" s="4"/>
      <c r="J1" s="6" t="s">
        <v>111</v>
      </c>
      <c r="K1" s="6" t="s">
        <v>164</v>
      </c>
      <c r="L1" s="6" t="s">
        <v>165</v>
      </c>
      <c r="M1" s="6" t="s">
        <v>166</v>
      </c>
      <c r="N1" s="6" t="s">
        <v>113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5" t="s">
        <v>13</v>
      </c>
      <c r="B2" s="5" t="s">
        <v>167</v>
      </c>
      <c r="C2" s="5" t="s">
        <v>168</v>
      </c>
      <c r="D2" s="5" t="s">
        <v>169</v>
      </c>
      <c r="E2" s="5" t="s">
        <v>61</v>
      </c>
      <c r="F2" s="5" t="s">
        <v>108</v>
      </c>
      <c r="G2" s="5" t="s">
        <v>170</v>
      </c>
      <c r="H2" s="5" t="s">
        <v>61</v>
      </c>
      <c r="I2" s="5"/>
      <c r="J2" s="5" t="s">
        <v>120</v>
      </c>
      <c r="K2" s="5" t="s">
        <v>171</v>
      </c>
      <c r="L2" s="5" t="s">
        <v>172</v>
      </c>
      <c r="M2" s="5" t="s">
        <v>173</v>
      </c>
      <c r="N2" s="12">
        <v>15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5" t="s">
        <v>174</v>
      </c>
      <c r="B3" s="5" t="s">
        <v>175</v>
      </c>
      <c r="C3" s="5" t="s">
        <v>176</v>
      </c>
      <c r="D3" s="5" t="s">
        <v>177</v>
      </c>
      <c r="E3" s="5" t="s">
        <v>18</v>
      </c>
      <c r="F3" s="5" t="s">
        <v>178</v>
      </c>
      <c r="G3" s="5" t="s">
        <v>179</v>
      </c>
      <c r="H3" s="5" t="s">
        <v>18</v>
      </c>
      <c r="I3" s="5"/>
      <c r="J3" s="5" t="s">
        <v>123</v>
      </c>
      <c r="K3" s="5" t="s">
        <v>180</v>
      </c>
      <c r="L3" s="5" t="s">
        <v>181</v>
      </c>
      <c r="M3" s="5" t="s">
        <v>182</v>
      </c>
      <c r="N3" s="12">
        <v>15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 t="s">
        <v>183</v>
      </c>
      <c r="B4" s="5" t="s">
        <v>184</v>
      </c>
      <c r="C4" s="5" t="s">
        <v>185</v>
      </c>
      <c r="D4" s="5" t="s">
        <v>186</v>
      </c>
      <c r="E4" s="5" t="s">
        <v>12</v>
      </c>
      <c r="F4" s="5" t="s">
        <v>187</v>
      </c>
      <c r="G4" s="5" t="s">
        <v>188</v>
      </c>
      <c r="H4" s="5" t="s">
        <v>12</v>
      </c>
      <c r="I4" s="5"/>
      <c r="J4" s="5" t="s">
        <v>126</v>
      </c>
      <c r="K4" s="5" t="s">
        <v>189</v>
      </c>
      <c r="L4" s="5" t="s">
        <v>190</v>
      </c>
      <c r="M4" s="5" t="s">
        <v>191</v>
      </c>
      <c r="N4" s="12">
        <v>12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5" t="s">
        <v>192</v>
      </c>
      <c r="B5" s="5" t="s">
        <v>193</v>
      </c>
      <c r="C5" s="5" t="s">
        <v>194</v>
      </c>
      <c r="D5" s="5" t="s">
        <v>195</v>
      </c>
      <c r="E5" s="5" t="s">
        <v>32</v>
      </c>
      <c r="F5" s="5" t="s">
        <v>196</v>
      </c>
      <c r="G5" s="5" t="s">
        <v>197</v>
      </c>
      <c r="H5" s="5" t="s">
        <v>32</v>
      </c>
      <c r="I5" s="5"/>
      <c r="J5" s="5" t="s">
        <v>128</v>
      </c>
      <c r="K5" s="5" t="s">
        <v>198</v>
      </c>
      <c r="L5" s="5" t="s">
        <v>199</v>
      </c>
      <c r="M5" s="5" t="s">
        <v>200</v>
      </c>
      <c r="N5" s="12">
        <v>10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 t="s">
        <v>201</v>
      </c>
      <c r="B6" s="5" t="s">
        <v>202</v>
      </c>
      <c r="C6" s="5" t="s">
        <v>203</v>
      </c>
      <c r="D6" s="5" t="s">
        <v>204</v>
      </c>
      <c r="E6" s="5"/>
      <c r="F6" s="5"/>
      <c r="G6" s="5" t="s">
        <v>205</v>
      </c>
      <c r="H6" s="5" t="s">
        <v>187</v>
      </c>
      <c r="I6" s="5"/>
      <c r="J6" s="5" t="s">
        <v>131</v>
      </c>
      <c r="K6" s="5" t="s">
        <v>206</v>
      </c>
      <c r="L6" s="5" t="s">
        <v>207</v>
      </c>
      <c r="M6" s="5" t="s">
        <v>208</v>
      </c>
      <c r="N6" s="12">
        <v>18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/>
      <c r="B7" s="5" t="s">
        <v>209</v>
      </c>
      <c r="C7" s="5" t="s">
        <v>169</v>
      </c>
      <c r="D7" s="5" t="s">
        <v>210</v>
      </c>
      <c r="E7" s="5"/>
      <c r="F7" s="5"/>
      <c r="G7" s="5"/>
      <c r="H7" s="5"/>
      <c r="I7" s="5"/>
      <c r="J7" s="5" t="s">
        <v>133</v>
      </c>
      <c r="K7" s="5" t="s">
        <v>211</v>
      </c>
      <c r="L7" s="5" t="s">
        <v>212</v>
      </c>
      <c r="M7" s="5" t="s">
        <v>213</v>
      </c>
      <c r="N7" s="12">
        <v>12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/>
      <c r="B8" s="5" t="s">
        <v>214</v>
      </c>
      <c r="C8" s="5" t="s">
        <v>215</v>
      </c>
      <c r="D8" s="5" t="s">
        <v>216</v>
      </c>
      <c r="E8" s="5"/>
      <c r="F8" s="5"/>
      <c r="G8" s="5"/>
      <c r="H8" s="5"/>
      <c r="I8" s="5"/>
      <c r="J8" s="5" t="s">
        <v>134</v>
      </c>
      <c r="K8" s="5" t="s">
        <v>217</v>
      </c>
      <c r="L8" s="5" t="s">
        <v>218</v>
      </c>
      <c r="M8" s="5" t="s">
        <v>219</v>
      </c>
      <c r="N8" s="12">
        <v>10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/>
      <c r="B9" s="5" t="s">
        <v>220</v>
      </c>
      <c r="C9" s="5" t="s">
        <v>221</v>
      </c>
      <c r="D9" s="5" t="s">
        <v>222</v>
      </c>
      <c r="E9" s="5"/>
      <c r="F9" s="5"/>
      <c r="G9" s="5"/>
      <c r="H9" s="5"/>
      <c r="I9" s="5"/>
      <c r="J9" s="5" t="s">
        <v>135</v>
      </c>
      <c r="K9" s="5" t="s">
        <v>223</v>
      </c>
      <c r="L9" s="5" t="s">
        <v>224</v>
      </c>
      <c r="M9" s="5" t="s">
        <v>225</v>
      </c>
      <c r="N9" s="12">
        <v>8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/>
      <c r="B10" s="5"/>
      <c r="C10" s="5" t="s">
        <v>226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2"/>
  <sheetViews>
    <sheetView workbookViewId="0"/>
  </sheetViews>
  <sheetFormatPr defaultRowHeight="14"/>
  <cols>
    <col min="1" max="41" width="18" customWidth="1"/>
  </cols>
  <sheetData>
    <row r="1" spans="1:41" ht="28" customHeight="1">
      <c r="A1" s="16" t="s">
        <v>227</v>
      </c>
      <c r="B1" s="17" t="s">
        <v>153</v>
      </c>
      <c r="C1" s="17" t="s">
        <v>14</v>
      </c>
      <c r="D1" s="17" t="s">
        <v>16</v>
      </c>
      <c r="E1" s="17" t="s">
        <v>19</v>
      </c>
      <c r="F1" s="17" t="s">
        <v>21</v>
      </c>
      <c r="G1" s="17" t="s">
        <v>23</v>
      </c>
      <c r="H1" s="16" t="s">
        <v>26</v>
      </c>
      <c r="I1" s="17" t="s">
        <v>28</v>
      </c>
      <c r="J1" s="17" t="s">
        <v>33</v>
      </c>
      <c r="K1" s="17" t="s">
        <v>35</v>
      </c>
      <c r="L1" s="17" t="s">
        <v>37</v>
      </c>
      <c r="M1" s="17" t="s">
        <v>40</v>
      </c>
      <c r="N1" s="17" t="s">
        <v>42</v>
      </c>
      <c r="O1" s="17" t="s">
        <v>46</v>
      </c>
      <c r="P1" s="17" t="s">
        <v>48</v>
      </c>
      <c r="Q1" s="17" t="s">
        <v>50</v>
      </c>
      <c r="R1" s="17" t="s">
        <v>52</v>
      </c>
      <c r="S1" s="17" t="s">
        <v>54</v>
      </c>
      <c r="T1" s="17" t="s">
        <v>57</v>
      </c>
      <c r="U1" s="17" t="s">
        <v>59</v>
      </c>
      <c r="V1" s="17" t="s">
        <v>62</v>
      </c>
      <c r="W1" s="17" t="s">
        <v>64</v>
      </c>
      <c r="X1" s="17" t="s">
        <v>66</v>
      </c>
      <c r="Y1" s="16" t="s">
        <v>69</v>
      </c>
      <c r="Z1" s="17" t="s">
        <v>71</v>
      </c>
      <c r="AA1" s="17" t="s">
        <v>73</v>
      </c>
      <c r="AB1" s="17" t="s">
        <v>75</v>
      </c>
      <c r="AC1" s="17" t="s">
        <v>78</v>
      </c>
      <c r="AD1" s="17" t="s">
        <v>81</v>
      </c>
      <c r="AE1" s="17" t="s">
        <v>83</v>
      </c>
      <c r="AF1" s="17" t="s">
        <v>85</v>
      </c>
      <c r="AG1" s="17" t="s">
        <v>87</v>
      </c>
      <c r="AH1" s="17" t="s">
        <v>90</v>
      </c>
      <c r="AI1" s="17" t="s">
        <v>93</v>
      </c>
      <c r="AJ1" s="17" t="s">
        <v>96</v>
      </c>
      <c r="AK1" s="17" t="s">
        <v>98</v>
      </c>
      <c r="AL1" s="17" t="s">
        <v>100</v>
      </c>
      <c r="AM1" s="17" t="s">
        <v>103</v>
      </c>
      <c r="AN1" s="17" t="s">
        <v>105</v>
      </c>
      <c r="AO1" s="17" t="s">
        <v>107</v>
      </c>
    </row>
    <row r="2" spans="1:41">
      <c r="A2" s="13">
        <f ca="1">IF(Intake_Form!C10="",TODAY(),Intake_Form!C10)</f>
        <v>46153</v>
      </c>
      <c r="B2" s="13" t="str">
        <f>IF(Intake_Form!C6="","",UPPER(SUBSTITUTE(LEFT(Intake_Form!C6,18)," ","_")))</f>
        <v/>
      </c>
      <c r="C2" s="13">
        <f>Intake_Form!C5</f>
        <v>0</v>
      </c>
      <c r="D2" s="13">
        <f>Intake_Form!C6</f>
        <v>0</v>
      </c>
      <c r="E2" s="13">
        <f>Intake_Form!C7</f>
        <v>0</v>
      </c>
      <c r="F2" s="13">
        <f>Intake_Form!C8</f>
        <v>0</v>
      </c>
      <c r="G2" s="13">
        <f>Intake_Form!C9</f>
        <v>0</v>
      </c>
      <c r="H2" s="13">
        <f>Intake_Form!C10</f>
        <v>0</v>
      </c>
      <c r="I2" s="13">
        <f>Intake_Form!C11</f>
        <v>0</v>
      </c>
      <c r="J2" s="13">
        <f>Intake_Form!C12</f>
        <v>0</v>
      </c>
      <c r="K2" s="13">
        <f>Intake_Form!C13</f>
        <v>0</v>
      </c>
      <c r="L2" s="13">
        <f>Intake_Form!C14</f>
        <v>0</v>
      </c>
      <c r="M2" s="13">
        <f>Intake_Form!C15</f>
        <v>0</v>
      </c>
      <c r="N2" s="13">
        <f>Intake_Form!C16</f>
        <v>0</v>
      </c>
      <c r="O2" s="13">
        <f>Intake_Form!C17</f>
        <v>0</v>
      </c>
      <c r="P2" s="13">
        <f>Intake_Form!C18</f>
        <v>0</v>
      </c>
      <c r="Q2" s="13">
        <f>Intake_Form!C19</f>
        <v>0</v>
      </c>
      <c r="R2" s="13">
        <f>Intake_Form!C20</f>
        <v>0</v>
      </c>
      <c r="S2" s="13">
        <f>Intake_Form!C21</f>
        <v>0</v>
      </c>
      <c r="T2" s="13">
        <f>Intake_Form!C22</f>
        <v>0</v>
      </c>
      <c r="U2" s="13">
        <f>Intake_Form!C23</f>
        <v>0</v>
      </c>
      <c r="V2" s="13">
        <f>Intake_Form!C24</f>
        <v>0</v>
      </c>
      <c r="W2" s="13">
        <f>Intake_Form!C25</f>
        <v>0</v>
      </c>
      <c r="X2" s="13">
        <f>Intake_Form!C26</f>
        <v>0</v>
      </c>
      <c r="Y2" s="13">
        <f>Intake_Form!C27</f>
        <v>0</v>
      </c>
      <c r="Z2" s="13">
        <f>Intake_Form!C28</f>
        <v>0</v>
      </c>
      <c r="AA2" s="13">
        <f>Intake_Form!C29</f>
        <v>0</v>
      </c>
      <c r="AB2" s="13">
        <f>Intake_Form!C30</f>
        <v>0</v>
      </c>
      <c r="AC2" s="13">
        <f>Intake_Form!C31</f>
        <v>0</v>
      </c>
      <c r="AD2" s="13">
        <f>Intake_Form!C32</f>
        <v>0</v>
      </c>
      <c r="AE2" s="13">
        <f>Intake_Form!C33</f>
        <v>0</v>
      </c>
      <c r="AF2" s="13">
        <f>Intake_Form!C34</f>
        <v>0</v>
      </c>
      <c r="AG2" s="13">
        <f>Intake_Form!C35</f>
        <v>0</v>
      </c>
      <c r="AH2" s="13">
        <f>Intake_Form!C36</f>
        <v>0</v>
      </c>
      <c r="AI2" s="13">
        <f>Intake_Form!C37</f>
        <v>0</v>
      </c>
      <c r="AJ2" s="13">
        <f>Intake_Form!C38</f>
        <v>0</v>
      </c>
      <c r="AK2" s="13">
        <f>Intake_Form!C39</f>
        <v>0</v>
      </c>
      <c r="AL2" s="13">
        <f>Intake_Form!C40</f>
        <v>0</v>
      </c>
      <c r="AM2" s="13">
        <f>Intake_Form!C41</f>
        <v>0</v>
      </c>
      <c r="AN2" s="13">
        <f>Intake_Form!C42</f>
        <v>0</v>
      </c>
      <c r="AO2" s="13">
        <f>Intake_Form!C43</f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5"/>
  <sheetViews>
    <sheetView workbookViewId="0">
      <selection activeCell="B2" sqref="B2"/>
    </sheetView>
  </sheetViews>
  <sheetFormatPr defaultRowHeight="14"/>
  <cols>
    <col min="1" max="1" width="12" customWidth="1"/>
    <col min="2" max="2" width="45" customWidth="1"/>
    <col min="3" max="3" width="12" customWidth="1"/>
    <col min="4" max="4" width="10" customWidth="1"/>
    <col min="5" max="5" width="30" customWidth="1"/>
    <col min="6" max="6" width="18" customWidth="1"/>
    <col min="7" max="7" width="16" customWidth="1"/>
    <col min="8" max="8" width="22" customWidth="1"/>
    <col min="9" max="9" width="16" customWidth="1"/>
    <col min="10" max="10" width="50" customWidth="1"/>
    <col min="11" max="11" width="12" customWidth="1"/>
  </cols>
  <sheetData>
    <row r="1" spans="1:11">
      <c r="A1" s="22" t="s">
        <v>228</v>
      </c>
      <c r="B1" s="22" t="s">
        <v>156</v>
      </c>
      <c r="C1" s="22" t="s">
        <v>154</v>
      </c>
      <c r="D1" s="22" t="s">
        <v>158</v>
      </c>
      <c r="E1" s="22" t="s">
        <v>229</v>
      </c>
      <c r="F1" s="22" t="s">
        <v>230</v>
      </c>
      <c r="G1" s="22" t="s">
        <v>231</v>
      </c>
      <c r="H1" s="22" t="s">
        <v>232</v>
      </c>
      <c r="I1" s="22" t="s">
        <v>233</v>
      </c>
      <c r="J1" s="22" t="s">
        <v>234</v>
      </c>
      <c r="K1" s="22" t="s">
        <v>235</v>
      </c>
    </row>
    <row r="2" spans="1:11">
      <c r="A2" t="s">
        <v>236</v>
      </c>
      <c r="B2" t="s">
        <v>237</v>
      </c>
      <c r="C2" t="s">
        <v>238</v>
      </c>
      <c r="D2" t="s">
        <v>239</v>
      </c>
      <c r="E2" t="s">
        <v>33</v>
      </c>
      <c r="F2" t="s">
        <v>240</v>
      </c>
      <c r="G2" t="s">
        <v>241</v>
      </c>
      <c r="H2" t="s">
        <v>242</v>
      </c>
      <c r="I2" t="s">
        <v>240</v>
      </c>
      <c r="J2" t="s">
        <v>243</v>
      </c>
      <c r="K2" t="s">
        <v>244</v>
      </c>
    </row>
    <row r="3" spans="1:11">
      <c r="A3" t="s">
        <v>245</v>
      </c>
      <c r="B3" t="s">
        <v>246</v>
      </c>
      <c r="C3" t="s">
        <v>238</v>
      </c>
      <c r="D3" t="s">
        <v>247</v>
      </c>
      <c r="E3" t="s">
        <v>35</v>
      </c>
      <c r="F3" t="s">
        <v>240</v>
      </c>
      <c r="G3" t="s">
        <v>241</v>
      </c>
      <c r="H3" t="s">
        <v>242</v>
      </c>
      <c r="I3" t="s">
        <v>242</v>
      </c>
      <c r="J3" t="s">
        <v>248</v>
      </c>
      <c r="K3" t="s">
        <v>244</v>
      </c>
    </row>
    <row r="4" spans="1:11">
      <c r="A4" t="s">
        <v>249</v>
      </c>
      <c r="B4" t="s">
        <v>250</v>
      </c>
      <c r="C4" t="s">
        <v>238</v>
      </c>
      <c r="D4" t="s">
        <v>251</v>
      </c>
      <c r="E4" t="s">
        <v>42</v>
      </c>
      <c r="F4" t="s">
        <v>240</v>
      </c>
      <c r="G4" t="s">
        <v>252</v>
      </c>
      <c r="H4" t="s">
        <v>242</v>
      </c>
      <c r="I4" t="s">
        <v>252</v>
      </c>
      <c r="J4" t="s">
        <v>253</v>
      </c>
      <c r="K4" t="s">
        <v>254</v>
      </c>
    </row>
    <row r="5" spans="1:11">
      <c r="A5" t="s">
        <v>255</v>
      </c>
      <c r="B5" t="s">
        <v>256</v>
      </c>
      <c r="C5" t="s">
        <v>257</v>
      </c>
      <c r="D5" t="s">
        <v>239</v>
      </c>
      <c r="E5" t="s">
        <v>26</v>
      </c>
      <c r="F5" t="s">
        <v>240</v>
      </c>
      <c r="G5" t="s">
        <v>241</v>
      </c>
      <c r="H5" t="s">
        <v>242</v>
      </c>
      <c r="I5" t="s">
        <v>240</v>
      </c>
      <c r="J5" t="s">
        <v>258</v>
      </c>
      <c r="K5" t="s">
        <v>244</v>
      </c>
    </row>
    <row r="6" spans="1:11">
      <c r="A6" t="s">
        <v>259</v>
      </c>
      <c r="B6" t="s">
        <v>260</v>
      </c>
      <c r="C6" t="s">
        <v>257</v>
      </c>
      <c r="D6" t="s">
        <v>239</v>
      </c>
      <c r="E6" t="s">
        <v>40</v>
      </c>
      <c r="F6" t="s">
        <v>240</v>
      </c>
      <c r="G6" t="s">
        <v>241</v>
      </c>
      <c r="H6" t="s">
        <v>242</v>
      </c>
      <c r="I6" t="s">
        <v>240</v>
      </c>
      <c r="J6" t="s">
        <v>261</v>
      </c>
      <c r="K6" t="s">
        <v>254</v>
      </c>
    </row>
    <row r="7" spans="1:11">
      <c r="A7" t="s">
        <v>262</v>
      </c>
      <c r="B7" t="s">
        <v>263</v>
      </c>
      <c r="C7" t="s">
        <v>257</v>
      </c>
      <c r="D7" t="s">
        <v>247</v>
      </c>
      <c r="E7" t="s">
        <v>26</v>
      </c>
      <c r="F7" t="s">
        <v>240</v>
      </c>
      <c r="G7" t="s">
        <v>241</v>
      </c>
      <c r="H7" t="s">
        <v>242</v>
      </c>
      <c r="I7" t="s">
        <v>240</v>
      </c>
      <c r="J7" t="s">
        <v>264</v>
      </c>
      <c r="K7" t="s">
        <v>265</v>
      </c>
    </row>
    <row r="8" spans="1:11">
      <c r="A8" t="s">
        <v>266</v>
      </c>
      <c r="B8" t="s">
        <v>267</v>
      </c>
      <c r="C8" t="s">
        <v>268</v>
      </c>
      <c r="D8" t="s">
        <v>239</v>
      </c>
      <c r="E8" t="s">
        <v>46</v>
      </c>
      <c r="F8" t="s">
        <v>240</v>
      </c>
      <c r="G8" t="s">
        <v>241</v>
      </c>
      <c r="H8" t="s">
        <v>242</v>
      </c>
      <c r="I8" t="s">
        <v>240</v>
      </c>
      <c r="J8" t="s">
        <v>269</v>
      </c>
      <c r="K8" t="s">
        <v>244</v>
      </c>
    </row>
    <row r="9" spans="1:11">
      <c r="A9" t="s">
        <v>270</v>
      </c>
      <c r="B9" t="s">
        <v>271</v>
      </c>
      <c r="C9" t="s">
        <v>268</v>
      </c>
      <c r="D9" t="s">
        <v>247</v>
      </c>
      <c r="E9" t="s">
        <v>48</v>
      </c>
      <c r="F9" t="s">
        <v>240</v>
      </c>
      <c r="G9" t="s">
        <v>241</v>
      </c>
      <c r="H9" t="s">
        <v>242</v>
      </c>
      <c r="I9" t="s">
        <v>240</v>
      </c>
      <c r="J9" t="s">
        <v>272</v>
      </c>
      <c r="K9" t="s">
        <v>244</v>
      </c>
    </row>
    <row r="10" spans="1:11">
      <c r="A10" t="s">
        <v>273</v>
      </c>
      <c r="B10" t="s">
        <v>274</v>
      </c>
      <c r="C10" t="s">
        <v>268</v>
      </c>
      <c r="D10" t="s">
        <v>239</v>
      </c>
      <c r="E10" t="s">
        <v>54</v>
      </c>
      <c r="F10" t="s">
        <v>240</v>
      </c>
      <c r="G10" t="s">
        <v>241</v>
      </c>
      <c r="H10" t="s">
        <v>242</v>
      </c>
      <c r="I10" t="s">
        <v>242</v>
      </c>
      <c r="J10" t="s">
        <v>275</v>
      </c>
      <c r="K10" t="s">
        <v>254</v>
      </c>
    </row>
    <row r="11" spans="1:11">
      <c r="A11" t="s">
        <v>276</v>
      </c>
      <c r="B11" t="s">
        <v>277</v>
      </c>
      <c r="C11" t="s">
        <v>155</v>
      </c>
      <c r="D11" t="s">
        <v>239</v>
      </c>
      <c r="E11" t="s">
        <v>57</v>
      </c>
      <c r="F11" t="s">
        <v>240</v>
      </c>
      <c r="G11" t="s">
        <v>241</v>
      </c>
      <c r="H11" t="s">
        <v>242</v>
      </c>
      <c r="I11" t="s">
        <v>240</v>
      </c>
      <c r="J11" t="s">
        <v>278</v>
      </c>
      <c r="K11" t="s">
        <v>244</v>
      </c>
    </row>
    <row r="12" spans="1:11">
      <c r="A12" t="s">
        <v>279</v>
      </c>
      <c r="B12" t="s">
        <v>280</v>
      </c>
      <c r="C12" t="s">
        <v>155</v>
      </c>
      <c r="D12" t="s">
        <v>247</v>
      </c>
      <c r="E12" t="s">
        <v>59</v>
      </c>
      <c r="F12" t="s">
        <v>240</v>
      </c>
      <c r="G12" t="s">
        <v>241</v>
      </c>
      <c r="H12" t="s">
        <v>242</v>
      </c>
      <c r="I12" t="s">
        <v>240</v>
      </c>
      <c r="J12" t="s">
        <v>281</v>
      </c>
      <c r="K12" t="s">
        <v>254</v>
      </c>
    </row>
    <row r="13" spans="1:11">
      <c r="A13" t="s">
        <v>282</v>
      </c>
      <c r="B13" t="s">
        <v>283</v>
      </c>
      <c r="C13" t="s">
        <v>155</v>
      </c>
      <c r="D13" t="s">
        <v>284</v>
      </c>
      <c r="E13" t="s">
        <v>62</v>
      </c>
      <c r="F13" t="s">
        <v>240</v>
      </c>
      <c r="G13" t="s">
        <v>241</v>
      </c>
      <c r="H13" t="s">
        <v>242</v>
      </c>
      <c r="I13" t="s">
        <v>240</v>
      </c>
      <c r="J13" t="s">
        <v>285</v>
      </c>
      <c r="K13" t="s">
        <v>265</v>
      </c>
    </row>
    <row r="14" spans="1:11">
      <c r="A14" t="s">
        <v>286</v>
      </c>
      <c r="B14" t="s">
        <v>287</v>
      </c>
      <c r="C14" t="s">
        <v>288</v>
      </c>
      <c r="D14" t="s">
        <v>251</v>
      </c>
      <c r="E14" t="s">
        <v>69</v>
      </c>
      <c r="F14" t="s">
        <v>240</v>
      </c>
      <c r="G14" t="s">
        <v>241</v>
      </c>
      <c r="H14" t="s">
        <v>242</v>
      </c>
      <c r="I14" t="s">
        <v>240</v>
      </c>
      <c r="J14" t="s">
        <v>289</v>
      </c>
      <c r="K14" t="s">
        <v>244</v>
      </c>
    </row>
    <row r="15" spans="1:11">
      <c r="A15" t="s">
        <v>290</v>
      </c>
      <c r="B15" t="s">
        <v>291</v>
      </c>
      <c r="C15" t="s">
        <v>288</v>
      </c>
      <c r="D15" t="s">
        <v>251</v>
      </c>
      <c r="E15" t="s">
        <v>75</v>
      </c>
      <c r="F15" t="s">
        <v>240</v>
      </c>
      <c r="G15" t="s">
        <v>241</v>
      </c>
      <c r="H15" t="s">
        <v>242</v>
      </c>
      <c r="I15" t="s">
        <v>241</v>
      </c>
      <c r="J15" t="s">
        <v>292</v>
      </c>
      <c r="K15" t="s">
        <v>254</v>
      </c>
    </row>
    <row r="16" spans="1:11">
      <c r="A16" t="s">
        <v>293</v>
      </c>
      <c r="B16" t="s">
        <v>294</v>
      </c>
      <c r="C16" t="s">
        <v>288</v>
      </c>
      <c r="D16" t="s">
        <v>251</v>
      </c>
      <c r="E16" t="s">
        <v>73</v>
      </c>
      <c r="F16" t="s">
        <v>240</v>
      </c>
      <c r="G16" t="s">
        <v>241</v>
      </c>
      <c r="H16" t="s">
        <v>242</v>
      </c>
      <c r="I16" t="s">
        <v>242</v>
      </c>
      <c r="J16" t="s">
        <v>295</v>
      </c>
      <c r="K16" t="s">
        <v>265</v>
      </c>
    </row>
    <row r="17" spans="1:11">
      <c r="A17" t="s">
        <v>296</v>
      </c>
      <c r="B17" t="s">
        <v>297</v>
      </c>
      <c r="C17" t="s">
        <v>298</v>
      </c>
      <c r="D17" t="s">
        <v>251</v>
      </c>
      <c r="E17" t="s">
        <v>90</v>
      </c>
      <c r="F17" t="s">
        <v>240</v>
      </c>
      <c r="G17" t="s">
        <v>241</v>
      </c>
      <c r="H17" t="s">
        <v>242</v>
      </c>
      <c r="I17" t="s">
        <v>240</v>
      </c>
      <c r="J17" t="s">
        <v>299</v>
      </c>
      <c r="K17" t="s">
        <v>244</v>
      </c>
    </row>
    <row r="18" spans="1:11">
      <c r="A18" t="s">
        <v>300</v>
      </c>
      <c r="B18" t="s">
        <v>301</v>
      </c>
      <c r="C18" t="s">
        <v>298</v>
      </c>
      <c r="D18" t="s">
        <v>239</v>
      </c>
      <c r="E18" t="s">
        <v>96</v>
      </c>
      <c r="F18" t="s">
        <v>240</v>
      </c>
      <c r="G18" t="s">
        <v>241</v>
      </c>
      <c r="H18" t="s">
        <v>242</v>
      </c>
      <c r="I18" t="s">
        <v>242</v>
      </c>
      <c r="J18" t="s">
        <v>302</v>
      </c>
      <c r="K18" t="s">
        <v>244</v>
      </c>
    </row>
    <row r="19" spans="1:11">
      <c r="A19" t="s">
        <v>303</v>
      </c>
      <c r="B19" t="s">
        <v>304</v>
      </c>
      <c r="C19" t="s">
        <v>298</v>
      </c>
      <c r="D19" t="s">
        <v>251</v>
      </c>
      <c r="E19" t="s">
        <v>98</v>
      </c>
      <c r="F19" t="s">
        <v>240</v>
      </c>
      <c r="G19" t="s">
        <v>252</v>
      </c>
      <c r="H19" t="s">
        <v>242</v>
      </c>
      <c r="I19" t="s">
        <v>252</v>
      </c>
      <c r="J19" t="s">
        <v>305</v>
      </c>
      <c r="K19" t="s">
        <v>254</v>
      </c>
    </row>
    <row r="20" spans="1:11">
      <c r="A20" t="s">
        <v>306</v>
      </c>
      <c r="B20" t="s">
        <v>307</v>
      </c>
      <c r="C20" t="s">
        <v>308</v>
      </c>
      <c r="D20" t="s">
        <v>239</v>
      </c>
      <c r="E20" t="s">
        <v>100</v>
      </c>
      <c r="F20" t="s">
        <v>240</v>
      </c>
      <c r="G20" t="s">
        <v>241</v>
      </c>
      <c r="H20" t="s">
        <v>242</v>
      </c>
      <c r="I20" t="s">
        <v>240</v>
      </c>
      <c r="J20" t="s">
        <v>309</v>
      </c>
      <c r="K20" t="s">
        <v>244</v>
      </c>
    </row>
    <row r="21" spans="1:11">
      <c r="A21" t="s">
        <v>310</v>
      </c>
      <c r="B21" t="s">
        <v>311</v>
      </c>
      <c r="C21" t="s">
        <v>308</v>
      </c>
      <c r="D21" t="s">
        <v>239</v>
      </c>
      <c r="E21" t="s">
        <v>100</v>
      </c>
      <c r="F21" t="s">
        <v>240</v>
      </c>
      <c r="G21" t="s">
        <v>241</v>
      </c>
      <c r="H21" t="s">
        <v>242</v>
      </c>
      <c r="I21" t="s">
        <v>240</v>
      </c>
      <c r="J21" t="s">
        <v>312</v>
      </c>
      <c r="K21" t="s">
        <v>254</v>
      </c>
    </row>
    <row r="22" spans="1:11">
      <c r="A22" t="s">
        <v>313</v>
      </c>
      <c r="B22" t="s">
        <v>314</v>
      </c>
      <c r="C22" t="s">
        <v>308</v>
      </c>
      <c r="D22" t="s">
        <v>239</v>
      </c>
      <c r="E22" t="s">
        <v>100</v>
      </c>
      <c r="F22" t="s">
        <v>240</v>
      </c>
      <c r="G22" t="s">
        <v>241</v>
      </c>
      <c r="H22" t="s">
        <v>242</v>
      </c>
      <c r="I22" t="s">
        <v>240</v>
      </c>
      <c r="J22" t="s">
        <v>315</v>
      </c>
      <c r="K22" t="s">
        <v>265</v>
      </c>
    </row>
    <row r="23" spans="1:11">
      <c r="A23" t="s">
        <v>316</v>
      </c>
      <c r="B23" t="s">
        <v>317</v>
      </c>
      <c r="C23" t="s">
        <v>318</v>
      </c>
      <c r="D23" t="s">
        <v>239</v>
      </c>
      <c r="E23" t="s">
        <v>28</v>
      </c>
      <c r="F23" t="s">
        <v>240</v>
      </c>
      <c r="G23" t="s">
        <v>241</v>
      </c>
      <c r="H23" t="s">
        <v>242</v>
      </c>
      <c r="I23" t="s">
        <v>240</v>
      </c>
      <c r="J23" t="s">
        <v>319</v>
      </c>
      <c r="K23" t="s">
        <v>244</v>
      </c>
    </row>
    <row r="24" spans="1:11">
      <c r="A24" t="s">
        <v>320</v>
      </c>
      <c r="B24" t="s">
        <v>321</v>
      </c>
      <c r="C24" t="s">
        <v>318</v>
      </c>
      <c r="D24" t="s">
        <v>247</v>
      </c>
      <c r="F24" t="s">
        <v>240</v>
      </c>
      <c r="G24" t="s">
        <v>241</v>
      </c>
      <c r="H24" t="s">
        <v>242</v>
      </c>
      <c r="I24" t="s">
        <v>240</v>
      </c>
      <c r="J24" t="s">
        <v>322</v>
      </c>
      <c r="K24" t="s">
        <v>244</v>
      </c>
    </row>
    <row r="25" spans="1:11">
      <c r="A25" t="s">
        <v>323</v>
      </c>
      <c r="B25" t="s">
        <v>324</v>
      </c>
      <c r="C25" t="s">
        <v>318</v>
      </c>
      <c r="D25" t="s">
        <v>239</v>
      </c>
      <c r="E25" t="s">
        <v>103</v>
      </c>
      <c r="F25" t="s">
        <v>240</v>
      </c>
      <c r="G25" t="s">
        <v>241</v>
      </c>
      <c r="H25" t="s">
        <v>242</v>
      </c>
      <c r="I25" t="s">
        <v>241</v>
      </c>
      <c r="J25" t="s">
        <v>325</v>
      </c>
      <c r="K25" t="s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Intake_Form</vt:lpstr>
      <vt:lpstr>Readiness_Scorecard</vt:lpstr>
      <vt:lpstr>RFP_Requirement_Sheet</vt:lpstr>
      <vt:lpstr>PowerBI_Export</vt:lpstr>
      <vt:lpstr>Lists</vt:lpstr>
      <vt:lpstr>Client_Export</vt:lpstr>
      <vt:lpstr>Requirement_Map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 Horobjowsky</cp:lastModifiedBy>
  <dcterms:created xsi:type="dcterms:W3CDTF">2026-05-10T14:56:52Z</dcterms:created>
  <dcterms:modified xsi:type="dcterms:W3CDTF">2026-05-11T15:23:47Z</dcterms:modified>
</cp:coreProperties>
</file>